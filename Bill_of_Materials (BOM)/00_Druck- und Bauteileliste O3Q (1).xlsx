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sh\Arbeit\Quantum Aktiv\Bauteile\Bauteile Final\Vollständig\STLs\"/>
    </mc:Choice>
  </mc:AlternateContent>
  <xr:revisionPtr revIDLastSave="0" documentId="13_ncr:1_{8E357B21-3F23-45CB-AE46-12E85E1BD350}" xr6:coauthVersionLast="47" xr6:coauthVersionMax="47" xr10:uidLastSave="{00000000-0000-0000-0000-000000000000}"/>
  <bookViews>
    <workbookView xWindow="-120" yWindow="-120" windowWidth="29040" windowHeight="15720" activeTab="1" xr2:uid="{4E90A778-0F15-49A6-9E66-504A9AC0C382}"/>
  </bookViews>
  <sheets>
    <sheet name="Wunschliste" sheetId="4" r:id="rId1"/>
    <sheet name="Bauteile nach Würfel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3" i="3" l="1"/>
  <c r="C112" i="3"/>
  <c r="C105" i="3"/>
  <c r="C106" i="3"/>
  <c r="C130" i="3"/>
  <c r="C131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08" i="3"/>
  <c r="C111" i="3"/>
  <c r="C114" i="3"/>
  <c r="C115" i="3"/>
  <c r="C116" i="3"/>
  <c r="C110" i="3"/>
  <c r="C103" i="3"/>
  <c r="C104" i="3"/>
  <c r="C107" i="3"/>
  <c r="C102" i="3"/>
  <c r="G2" i="3" l="1" a="1"/>
  <c r="G2" i="3" s="1"/>
  <c r="Y2" i="3" a="1"/>
  <c r="Y2" i="3" s="1"/>
  <c r="E2" i="3" a="1"/>
  <c r="E2" i="3" s="1"/>
  <c r="H2" i="3" a="1"/>
  <c r="H2" i="3" s="1"/>
  <c r="O2" i="3" a="1"/>
  <c r="O2" i="3" s="1"/>
  <c r="P2" i="3" a="1"/>
  <c r="P2" i="3" s="1"/>
  <c r="V2" i="3" a="1"/>
  <c r="V2" i="3" s="1"/>
  <c r="U2" i="3" a="1"/>
  <c r="U2" i="3" s="1"/>
  <c r="N2" i="3" a="1"/>
  <c r="N2" i="3" s="1"/>
  <c r="M2" i="3" a="1"/>
  <c r="M2" i="3" s="1"/>
  <c r="F2" i="3" a="1"/>
  <c r="F2" i="3" s="1"/>
  <c r="T2" i="3" a="1"/>
  <c r="T2" i="3" s="1"/>
  <c r="L2" i="3" a="1"/>
  <c r="L2" i="3" s="1"/>
  <c r="S2" i="3" a="1"/>
  <c r="S2" i="3" s="1"/>
  <c r="K2" i="3" a="1"/>
  <c r="K2" i="3" s="1"/>
  <c r="X2" i="3" a="1"/>
  <c r="X2" i="3" s="1"/>
  <c r="R2" i="3" a="1"/>
  <c r="R2" i="3" s="1"/>
  <c r="J2" i="3" a="1"/>
  <c r="J2" i="3" s="1"/>
  <c r="W2" i="3" a="1"/>
  <c r="W2" i="3" s="1"/>
  <c r="Q2" i="3" a="1"/>
  <c r="Q2" i="3" s="1"/>
  <c r="D2" i="3" a="1"/>
  <c r="D2" i="3" s="1"/>
  <c r="I2" i="3" a="1"/>
  <c r="I2" i="3" s="1"/>
  <c r="C78" i="3" l="1"/>
  <c r="C34" i="3"/>
  <c r="C35" i="3"/>
  <c r="C36" i="3"/>
  <c r="C33" i="3"/>
  <c r="C50" i="3"/>
  <c r="C49" i="3"/>
  <c r="C91" i="3"/>
  <c r="C79" i="3"/>
  <c r="C88" i="3"/>
  <c r="C42" i="3"/>
  <c r="C46" i="3"/>
  <c r="C64" i="3"/>
  <c r="C67" i="3"/>
  <c r="C22" i="3"/>
  <c r="C8" i="3"/>
  <c r="C74" i="3"/>
  <c r="C44" i="3"/>
  <c r="C52" i="3"/>
  <c r="C20" i="3"/>
  <c r="C89" i="3"/>
  <c r="C97" i="3"/>
  <c r="C63" i="3"/>
  <c r="C71" i="3"/>
  <c r="C56" i="3"/>
  <c r="C6" i="3"/>
  <c r="C72" i="3"/>
  <c r="C30" i="3"/>
  <c r="C17" i="3"/>
  <c r="C16" i="3"/>
  <c r="C69" i="3"/>
  <c r="C60" i="3"/>
  <c r="C27" i="3"/>
  <c r="C96" i="3"/>
  <c r="C14" i="3"/>
  <c r="C82" i="3"/>
  <c r="C26" i="3"/>
  <c r="C40" i="3"/>
  <c r="C51" i="3"/>
  <c r="C23" i="3"/>
  <c r="C92" i="3"/>
  <c r="C9" i="3"/>
  <c r="C68" i="3"/>
  <c r="C37" i="3"/>
  <c r="C13" i="3"/>
  <c r="C53" i="3"/>
  <c r="C48" i="3"/>
  <c r="C75" i="3"/>
  <c r="C31" i="3"/>
  <c r="C4" i="3"/>
  <c r="C10" i="3"/>
  <c r="C76" i="3"/>
  <c r="C45" i="3"/>
  <c r="C21" i="3"/>
  <c r="C29" i="3"/>
  <c r="C77" i="3"/>
  <c r="C3" i="3"/>
  <c r="C41" i="3"/>
  <c r="C32" i="3"/>
  <c r="C18" i="3"/>
  <c r="C86" i="3"/>
  <c r="C54" i="3"/>
  <c r="C28" i="3"/>
  <c r="C39" i="3"/>
  <c r="C99" i="3"/>
  <c r="C95" i="3"/>
  <c r="C65" i="3"/>
  <c r="C59" i="3"/>
  <c r="C25" i="3"/>
  <c r="C94" i="3"/>
  <c r="C62" i="3"/>
  <c r="C38" i="3"/>
  <c r="C47" i="3"/>
  <c r="C24" i="3"/>
  <c r="C7" i="3"/>
  <c r="C73" i="3"/>
  <c r="C61" i="3"/>
  <c r="C85" i="3"/>
  <c r="C11" i="3"/>
  <c r="C70" i="3"/>
  <c r="C55" i="3"/>
  <c r="C15" i="3"/>
  <c r="C83" i="3"/>
  <c r="C87" i="3"/>
  <c r="C66" i="3"/>
  <c r="C19" i="3"/>
  <c r="C43" i="3"/>
  <c r="C12" i="3"/>
  <c r="C80" i="3"/>
  <c r="C5" i="3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<sst xmlns="http://schemas.openxmlformats.org/spreadsheetml/2006/main" count="275" uniqueCount="170">
  <si>
    <t>Reichelt</t>
  </si>
  <si>
    <t>Büschelstecker Rot</t>
  </si>
  <si>
    <t>Büschelstecker Schwarz</t>
  </si>
  <si>
    <t>https://astromedia.de/Opti-MediaAchromat-51</t>
  </si>
  <si>
    <t>Screentech</t>
  </si>
  <si>
    <t>https://shop.webmart.de/44918/71168/357690/product.html</t>
  </si>
  <si>
    <t>Laser 5V + USB</t>
  </si>
  <si>
    <t>Schrumpfschlauch</t>
  </si>
  <si>
    <t>Laserdiode 3V</t>
  </si>
  <si>
    <t>Laserdiode 5V</t>
  </si>
  <si>
    <t>Hohlstecker</t>
  </si>
  <si>
    <t>Hohlbuchse</t>
  </si>
  <si>
    <t>Grundplatte 4x6</t>
  </si>
  <si>
    <t>Supermagnete.de</t>
  </si>
  <si>
    <t>Magnetkugel, 5mm</t>
  </si>
  <si>
    <t>Strahlteiler</t>
  </si>
  <si>
    <t>Schraubenhimmel.de</t>
  </si>
  <si>
    <t>Inbus, M3x12</t>
  </si>
  <si>
    <t>Batteriekasten</t>
  </si>
  <si>
    <t>LED-Würfel</t>
  </si>
  <si>
    <t>Astromedia.de</t>
  </si>
  <si>
    <t>https://astromedia.de/Opti-Media-OM2</t>
  </si>
  <si>
    <t>Teildurchlässiger Vorderflächenspiegel</t>
  </si>
  <si>
    <t>Mutter, M3</t>
  </si>
  <si>
    <t>Mutter, M3, Selbstsichernd</t>
  </si>
  <si>
    <t>Spiegel 90°</t>
  </si>
  <si>
    <t>Spiegel 45°</t>
  </si>
  <si>
    <t>Vorderflächenspiegel</t>
  </si>
  <si>
    <t>Linse 15mm</t>
  </si>
  <si>
    <t>Linse 26,5mm</t>
  </si>
  <si>
    <t>Linse 65mm</t>
  </si>
  <si>
    <t>Schirm</t>
  </si>
  <si>
    <t>Laser 3V</t>
  </si>
  <si>
    <t>Außensechskant, M3x40</t>
  </si>
  <si>
    <t>Umschalter beleuchtet</t>
  </si>
  <si>
    <t>USB-Kabel mit Schalter</t>
  </si>
  <si>
    <t>Widerstand 47 Ohm</t>
  </si>
  <si>
    <t>Linse, f=15mm</t>
  </si>
  <si>
    <t>Linse, f=26,5mm</t>
  </si>
  <si>
    <t>Linse, f=65mm</t>
  </si>
  <si>
    <t>https://www.reichelt.de/led-5-mm-bedrahtet-gruen-43300-mcd-15--sloan-l5-g81n-gu-p230982.html?&amp;trstct=pol_1&amp;nbc=1</t>
  </si>
  <si>
    <t>LED</t>
  </si>
  <si>
    <t>Zielhilfe</t>
  </si>
  <si>
    <t>Polfilter</t>
  </si>
  <si>
    <t>Gitterhalter</t>
  </si>
  <si>
    <t>Spiegel 90° - Piezo</t>
  </si>
  <si>
    <t>Piezoelement</t>
  </si>
  <si>
    <t>https://astromedia.de/Opti-Media-Linse-OM5</t>
  </si>
  <si>
    <t>https://astromedia.de/Vorderflaechen-Glasspiegel-22x22mm</t>
  </si>
  <si>
    <t>https://astromedia.de/Teildurchlaessiger-Vorderflaechen-Glasspiegel-30x40mm</t>
  </si>
  <si>
    <t>Sekundenkleber</t>
  </si>
  <si>
    <t>Anzahl</t>
  </si>
  <si>
    <t>Bezugsquelle</t>
  </si>
  <si>
    <t>Benötigt für ausgewählte Sets</t>
  </si>
  <si>
    <t>Benötigt pro Experiment</t>
  </si>
  <si>
    <t>Michelson Interferometer</t>
  </si>
  <si>
    <t xml:space="preserve">Michelson + Piezo </t>
  </si>
  <si>
    <t xml:space="preserve">Batterie - AA </t>
  </si>
  <si>
    <t>Batteriehalter AA</t>
  </si>
  <si>
    <t>Mach-Zehnder Interferometer</t>
  </si>
  <si>
    <t>Polarisation</t>
  </si>
  <si>
    <t>Gitter &amp; Spalte</t>
  </si>
  <si>
    <t>Wunschliste</t>
  </si>
  <si>
    <t>Experimente</t>
  </si>
  <si>
    <t>Extrawürfel</t>
  </si>
  <si>
    <t>Polfilterfolie 30mm x 30mm</t>
  </si>
  <si>
    <t>Kleinmaterial</t>
  </si>
  <si>
    <t>Klebeetikett - Skala</t>
  </si>
  <si>
    <t>https://www.reichelt.de/punkt-lasermodul-rot-650-nm-3-vdc-6-5x17-mm-klasse-2-pico-70115864-p254429.html?CCOUNTRY=445&amp;LANGUAGE=de&amp;trstct=pos_12&amp;nbc=1&amp;&amp;r=1</t>
  </si>
  <si>
    <t>https://www.reichelt.de/raspberry-pi-kabel-mit-schalter-100-cm-schwarz-rpi-cable-sw-100-p242762.html?&amp;nbc=1</t>
  </si>
  <si>
    <t>https://www.reichelt.de/hohlstecker-knickschutz-aussen-5-5-mm-innen-2-5-mm-hs-25-9-p8649.html?&amp;trstct=pol_9&amp;nbc=1</t>
  </si>
  <si>
    <t>https://www.reichelt.de/einbaubuchse-aussen-5-6-mm-innen-2-5-mm-dc-072342l-p196471.html?&amp;trstct=pol_15&amp;nbc=1</t>
  </si>
  <si>
    <t>https://www.reichelt.de/kipphebelschalter-rund-1x-ein-aus-teilbel-rt-ws-r13-112-lpla-p105448.html?&amp;trstct=pos_0&amp;nbc=1</t>
  </si>
  <si>
    <t>https://www.reichelt.de/batteriehalter-fuer-2-mignonzellen-aa--halter-2xaaz-p113169.html?&amp;trstct=pos_0&amp;nbc=1</t>
  </si>
  <si>
    <t>https://www.reichelt.de/duennschichtwiderstand-axial-0-6-w-47-ohm-1--vi-mbb02070c4709-p233747.html?&amp;trstct=pos_1&amp;nbc=1</t>
  </si>
  <si>
    <t>https://www.reichelt.de/schrumpfschlauch-sortiment-schwarz-100-teilig-delock-86271-p152924.html?search=Delock+86271</t>
  </si>
  <si>
    <t>Zwillingslitze</t>
  </si>
  <si>
    <t>https://www.reichelt.de/piezoelement-4-4-khz-200-ohm-bedrahtet-epz-27ms44w-p145918.html?&amp;trstct=pos_4&amp;nbc=1</t>
  </si>
  <si>
    <t>https://www.reichelt.de/bueschelstecker-4mm-schwarz-bkl-072162-p235724.html?&amp;trstct=pos_2&amp;nbc=1</t>
  </si>
  <si>
    <t>https://www.reichelt.de/sekundenkleber-super-glue-140-schnell-aushaertend-20-g-wiko-sg140-20-p98444.html?&amp;trstct=pos_5&amp;nbc=1</t>
  </si>
  <si>
    <t>https://www.reichelt.de/red-alkaline-batterie-aa-mignon-4er-pack-ans-red-4xaa-p100558.html?&amp;trstct=pos_6&amp;nbc=1</t>
  </si>
  <si>
    <t>https://www.supermagnete.de/magnetkugeln-neodym/magnetkugel-5mm_K-05-N</t>
  </si>
  <si>
    <t>02B_V1_Würfeldeckel 1x1_Taster</t>
  </si>
  <si>
    <t>00A_Sw_V1_Grundplatte 4x6</t>
  </si>
  <si>
    <t>https://www.magnethandel.de/neocube-216-magnetkugeln-kugelmagnete-magnetset-nickel</t>
  </si>
  <si>
    <t>Alternative Magnetkugeln</t>
  </si>
  <si>
    <t>01A_Go_V1_Würfelboden 1x1</t>
  </si>
  <si>
    <t>01B_Go_V1_Würfelboden 1x1_geschlossen</t>
  </si>
  <si>
    <t>01C_Go_V1_Würfelboden 1x2</t>
  </si>
  <si>
    <t>01D_Go_V1_Batteriekasten_Boden</t>
  </si>
  <si>
    <t>02A_Br_V1_Würfeldeckel 1x1</t>
  </si>
  <si>
    <t>02D_Br_V1_Batteriekasten_Deckel</t>
  </si>
  <si>
    <t>10A_Si_V1_Einsatz 90°</t>
  </si>
  <si>
    <t>10B_Si_V1_Einsatz 45°</t>
  </si>
  <si>
    <t>11A_Si_V1_Laserplatte</t>
  </si>
  <si>
    <t>11A_Si_V1_Laser_Zugentlastung</t>
  </si>
  <si>
    <t>11B_Si_V1_LEDplatte</t>
  </si>
  <si>
    <t>11C_Si_V1_Spiegelplatte</t>
  </si>
  <si>
    <t>11D_Si_V1_Spiegelplatte_Piezo</t>
  </si>
  <si>
    <t>12A_Si_V1_Strahlteiler_Oben</t>
  </si>
  <si>
    <t>12A_Si_V1_Strahlteiler_Klemme</t>
  </si>
  <si>
    <t>12A_Si_V1_Strahlteiler_Unten</t>
  </si>
  <si>
    <t>13A_Si_V0_Linsenhalter</t>
  </si>
  <si>
    <t>13B_Si_V1_Linsenhalter_f=15mm</t>
  </si>
  <si>
    <t>13C_Si_V1_Linsenhalter_f=26,5mm</t>
  </si>
  <si>
    <t>13D_Si_V1_Linsenhalter_f=65mm</t>
  </si>
  <si>
    <t>03A_Ro_V1_Stellschraube_Kopf</t>
  </si>
  <si>
    <t>02C_Br_V1_Würfeldeckel 1x2</t>
  </si>
  <si>
    <t>BB84</t>
  </si>
  <si>
    <t>14A_Ro_V1_Polfilter_Rad</t>
  </si>
  <si>
    <t>14A_Ro_V1_Polfilter_Filterabdeckung</t>
  </si>
  <si>
    <t>14A_Si_V1_Polfilter_Halteplatte</t>
  </si>
  <si>
    <t>14A_Si_V1_Polfilter_Zwischenplatte</t>
  </si>
  <si>
    <t>14A_Si_V1_Polfilter_Frontplatte</t>
  </si>
  <si>
    <t>05A_Si_V1_Gitterhalter_Rahmen</t>
  </si>
  <si>
    <t>05A_Si_V1_Gitterhalter_Stopper</t>
  </si>
  <si>
    <t>05A_Si_V1_Gitterhalter_Schlitten</t>
  </si>
  <si>
    <t>05A_Ro_V1_Gitterhalter_Drehknopf</t>
  </si>
  <si>
    <t>https://www.reichelt.de/bueschelstecker-4mm-rot-bkl-072164-p235726.html?&amp;trstct=vrt_pdn&amp;nbc=1</t>
  </si>
  <si>
    <t>Gewindeeinsatz</t>
  </si>
  <si>
    <t>https://www.reichelt.de/3d-druck-gewindeeinsaetze-m3x5-7-100-stueck-rx-m3x5-7-p332213.html?&amp;trstct=pos_4&amp;nbc=1</t>
  </si>
  <si>
    <t>Paar Basispolfilter</t>
  </si>
  <si>
    <t>Gekoppelter Polfilter</t>
  </si>
  <si>
    <t>Taster</t>
  </si>
  <si>
    <t>Bauteile</t>
  </si>
  <si>
    <t>https://www.reichelt.de/micro-arcade-button-mit-mikrostaster-27-1-mm-schwarz-arc-button-mc-bk-p252669.html?&amp;trstct=pol_1&amp;nbc=1</t>
  </si>
  <si>
    <t>21A_Si_V1_Koppelpolfilter_Frontplatte</t>
  </si>
  <si>
    <t>21A_Si_V1_Koppelpolfilter_Halteplatte</t>
  </si>
  <si>
    <t>21A_Si_V1_Koppelpolfilter_Zwischenplatte</t>
  </si>
  <si>
    <t>21A_Si_V1_Koppelpolfilter_Zahnrad_links</t>
  </si>
  <si>
    <t>21A_Si_V1_Koppelpolfilter_Zahnrad_rechts</t>
  </si>
  <si>
    <t>21A_Si_V1_Koppelpolfilter_Gittereinsatz</t>
  </si>
  <si>
    <t>21A_Ro_V1_Koppelpolfilter_Schalter</t>
  </si>
  <si>
    <t>Polfilterfolie 17mm x 17mm</t>
  </si>
  <si>
    <t>06B_Si_+Basispolfilter_Mitte</t>
  </si>
  <si>
    <t>06C_Si_xBasispolfilter_Mitte</t>
  </si>
  <si>
    <t>06A_Ro_Basispolfilter_Griff</t>
  </si>
  <si>
    <t>01E_Go_V1_Basispolfilter_Boden</t>
  </si>
  <si>
    <t>https://www.reichelt.de/punkt-lasermodul-rot-650-nm-5-vdc-7x14-mm-klasse-2-pico-70107388-p254568.html?&amp;trstct=pos_1&amp;nbc=1 oder https://shop.picotronic.de/detail/e5b4d5483d95494c9cddf3939cdfca1d</t>
  </si>
  <si>
    <t>Widerstand 10 Ohm</t>
  </si>
  <si>
    <t>https://www.reichelt.de/duennschichtwiderstand-axial-0-6-w-10-ohm-1--vi-mbb02070c1009-p233671.html?&amp;trstct=pos_14&amp;nbc=1</t>
  </si>
  <si>
    <t>Papier z.B.: https://www.bueromarkt-ag.de/universaletiketten_herma_4428_premium_weiss,p-4428.html?ref=da-variante</t>
  </si>
  <si>
    <t>00B_Sw_V2_Verbinder_Gr.P</t>
  </si>
  <si>
    <t>00B_Sw_V2_Grundplatte_Verb. 4x3</t>
  </si>
  <si>
    <t>Grundplatte 4x3 2St.</t>
  </si>
  <si>
    <t>https://www.reichelt.de/lautsprecherkabel-rot-schwarz-cu-10-m-la-205-10-p9813.html?&amp;trstct=vrt_pdn&amp;nbc=1</t>
  </si>
  <si>
    <t>07A_Go_V1_Basiswürfel</t>
  </si>
  <si>
    <t>07B_Go_V1_Bitwürfel</t>
  </si>
  <si>
    <t>BB84 Zufallswürfel</t>
  </si>
  <si>
    <t>https://www.reichelt.de/loetzinn-bleifrei-0-75-mm-250-g-lz-fe-csn-0-75-2-p141701.html?&amp;trstct=pos_5&amp;nbc=1</t>
  </si>
  <si>
    <t>Lötzinn</t>
  </si>
  <si>
    <t>06A_Si_V1_Basispolfilter_Filterabdeckung</t>
  </si>
  <si>
    <t>Quantenradierer</t>
  </si>
  <si>
    <t>Mach-Zehnder-Interferometer</t>
  </si>
  <si>
    <t>04A_We_V1_Schirm Basis</t>
  </si>
  <si>
    <t>04B_We_V1_Schirm</t>
  </si>
  <si>
    <t>04C_We_V1_Lochblende</t>
  </si>
  <si>
    <t>Summe Module</t>
  </si>
  <si>
    <t>https://o3q.de/anleitungen-dateien/</t>
  </si>
  <si>
    <t>https://www.schraubenhimmel.de/muttern/sechskantmuttern/normale-form/40146/din-934-stahl-6-verzinkt-m-3-sechskantmuttern</t>
  </si>
  <si>
    <t>https://www.schraubenhimmel.de/schrauben/zylinderkopf/metrisch-innensechskant/39228/din-912-stahl-8.8-verzinkt-m-3x12-zylinderschrauben-mit-innensechskant</t>
  </si>
  <si>
    <t>https://www.schraubenhimmel.de/muttern/sechskantmuttern/stopmuttern/mit-kunststoff-klemmteil/28174/din-985-stahl-6-verzinkt-m-3-sechskantmutter-mit-klemmteil-niedrige-form-kleinpaket</t>
  </si>
  <si>
    <t>https://www.schraubenhimmel.de/schrauben/sechskantkopf/metrisch/95172/din-933/iso-4017-stahl-8.8-verzinkt-m-3x40-sechskantschrauben-vollgewinde</t>
  </si>
  <si>
    <t>12B_Si_V3_Strahlteiler_Klemme 42,2°</t>
  </si>
  <si>
    <t>12B_Si_V3_Strahlteiler_Unten 42,2°</t>
  </si>
  <si>
    <t>Strahlteiler 44,2°</t>
  </si>
  <si>
    <t>https://www.conrad.de/de/p/3m-vhb-5952f-5952f-193-doppelseitiges-klebeband-vhb-5952f-schwarz-l-x-b-3-m-x-19-mm-1-st-806742.html</t>
  </si>
  <si>
    <t>Klebepad ~19mm^2</t>
  </si>
  <si>
    <t>Spiralschlauch</t>
  </si>
  <si>
    <t>https://www.reichelt.de/spiralschlauch-3-25-mm-10-m-weiss-quad-2111c141-p332584.html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</si>
</sst>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4A670"/>
        <bgColor indexed="64"/>
      </patternFill>
    </fill>
    <fill>
      <patternFill patternType="solid">
        <fgColor rgb="FFE4B91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5" borderId="0" xfId="0" applyFont="1" applyFill="1"/>
    <xf numFmtId="0" fontId="1" fillId="0" borderId="0" xfId="0" applyFont="1"/>
    <xf numFmtId="0" fontId="3" fillId="6" borderId="0" xfId="0" applyFont="1" applyFill="1"/>
    <xf numFmtId="0" fontId="5" fillId="0" borderId="0" xfId="0" applyFont="1"/>
    <xf numFmtId="0" fontId="0" fillId="5" borderId="0" xfId="0" applyFill="1"/>
    <xf numFmtId="0" fontId="4" fillId="3" borderId="0" xfId="0" applyFont="1" applyFill="1"/>
    <xf numFmtId="0" fontId="0" fillId="8" borderId="0" xfId="0" applyFill="1"/>
    <xf numFmtId="0" fontId="5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center"/>
    </xf>
    <xf numFmtId="0" fontId="2" fillId="0" borderId="1" xfId="1" applyBorder="1"/>
    <xf numFmtId="0" fontId="0" fillId="0" borderId="1" xfId="0" applyBorder="1"/>
    <xf numFmtId="0" fontId="0" fillId="0" borderId="2" xfId="0" applyBorder="1"/>
    <xf numFmtId="0" fontId="1" fillId="7" borderId="2" xfId="0" applyFont="1" applyFill="1" applyBorder="1"/>
    <xf numFmtId="0" fontId="0" fillId="7" borderId="2" xfId="0" applyFill="1" applyBorder="1"/>
    <xf numFmtId="0" fontId="4" fillId="5" borderId="2" xfId="0" applyFont="1" applyFill="1" applyBorder="1"/>
    <xf numFmtId="0" fontId="2" fillId="0" borderId="0" xfId="1" applyBorder="1"/>
    <xf numFmtId="0" fontId="3" fillId="6" borderId="1" xfId="0" applyFont="1" applyFill="1" applyBorder="1"/>
    <xf numFmtId="0" fontId="0" fillId="2" borderId="1" xfId="0" applyFill="1" applyBorder="1"/>
    <xf numFmtId="0" fontId="0" fillId="4" borderId="1" xfId="0" applyFill="1" applyBorder="1"/>
    <xf numFmtId="0" fontId="1" fillId="0" borderId="4" xfId="0" applyFont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/>
    <xf numFmtId="0" fontId="0" fillId="9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9" borderId="1" xfId="0" applyFont="1" applyFill="1" applyBorder="1"/>
    <xf numFmtId="0" fontId="5" fillId="9" borderId="1" xfId="0" applyFont="1" applyFill="1" applyBorder="1"/>
    <xf numFmtId="0" fontId="5" fillId="9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textRotation="90" wrapText="1"/>
    </xf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6" fontId="0" fillId="0" borderId="0" xfId="0" applyNumberFormat="1"/>
    <xf numFmtId="0" fontId="0" fillId="0" borderId="0" xfId="0" applyProtection="1">
      <protection hidden="1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0000"/>
      <color rgb="FFC4A670"/>
      <color rgb="FFBFBFBF"/>
      <color rgb="FFE4B91A"/>
      <color rgb="FFE7C417"/>
      <color rgb="FFCC99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ichelt.de/bueschelstecker-4mm-schwarz-bkl-072162-p235724.html?&amp;trstct=pos_2&amp;nbc=1" TargetMode="External"/><Relationship Id="rId18" Type="http://schemas.openxmlformats.org/officeDocument/2006/relationships/hyperlink" Target="https://astromedia.de/Opti-MediaAchromat-51" TargetMode="External"/><Relationship Id="rId26" Type="http://schemas.openxmlformats.org/officeDocument/2006/relationships/hyperlink" Target="https://o3q.de/anleitungen-dateien/" TargetMode="External"/><Relationship Id="rId3" Type="http://schemas.openxmlformats.org/officeDocument/2006/relationships/hyperlink" Target="https://www.reichelt.de/raspberry-pi-kabel-mit-schalter-100-cm-schwarz-rpi-cable-sw-100-p242762.html?&amp;nbc=1" TargetMode="External"/><Relationship Id="rId21" Type="http://schemas.openxmlformats.org/officeDocument/2006/relationships/hyperlink" Target="https://www.supermagnete.de/magnetkugeln-neodym/magnetkugel-5mm_K-05-N" TargetMode="External"/><Relationship Id="rId34" Type="http://schemas.openxmlformats.org/officeDocument/2006/relationships/hyperlink" Target="https://www.schraubenhimmel.de/schrauben/sechskantkopf/metrisch/95172/din-933/iso-4017-stahl-8.8-verzinkt-m-3x40-sechskantschrauben-vollgewinde" TargetMode="External"/><Relationship Id="rId7" Type="http://schemas.openxmlformats.org/officeDocument/2006/relationships/hyperlink" Target="https://www.reichelt.de/batteriehalter-fuer-2-mignonzellen-aa--halter-2xaaz-p113169.html?&amp;trstct=pos_0&amp;nbc=1" TargetMode="External"/><Relationship Id="rId12" Type="http://schemas.openxmlformats.org/officeDocument/2006/relationships/hyperlink" Target="https://www.reichelt.de/piezoelement-4-4-khz-200-ohm-bedrahtet-epz-27ms44w-p145918.html?&amp;trstct=pos_4&amp;nbc=1" TargetMode="External"/><Relationship Id="rId17" Type="http://schemas.openxmlformats.org/officeDocument/2006/relationships/hyperlink" Target="https://astromedia.de/Teildurchlaessiger-Vorderflaechen-Glasspiegel-30x40mm" TargetMode="External"/><Relationship Id="rId25" Type="http://schemas.openxmlformats.org/officeDocument/2006/relationships/hyperlink" Target="https://www.reichelt.de/3d-druck-gewindeeinsaetze-m3x5-7-100-stueck-rx-m3x5-7-p332213.html?&amp;trstct=pos_4&amp;nbc=1" TargetMode="External"/><Relationship Id="rId33" Type="http://schemas.openxmlformats.org/officeDocument/2006/relationships/hyperlink" Target="https://www.schraubenhimmel.de/muttern/sechskantmuttern/stopmuttern/mit-kunststoff-klemmteil/28174/din-985-stahl-6-verzinkt-m-3-sechskantmutter-mit-klemmteil-niedrige-form-kleinpaket" TargetMode="External"/><Relationship Id="rId2" Type="http://schemas.openxmlformats.org/officeDocument/2006/relationships/hyperlink" Target="https://www.reichelt.de/punkt-lasermodul-rot-650-nm-5-vdc-7x14-mm-klasse-2-pico-70107388-p254568.html?&amp;trstct=pos_1&amp;nbc=1" TargetMode="External"/><Relationship Id="rId16" Type="http://schemas.openxmlformats.org/officeDocument/2006/relationships/hyperlink" Target="https://astromedia.de/Vorderflaechen-Glasspiegel-22x22mm" TargetMode="External"/><Relationship Id="rId20" Type="http://schemas.openxmlformats.org/officeDocument/2006/relationships/hyperlink" Target="https://astromedia.de/Opti-Media-Linse-OM5" TargetMode="External"/><Relationship Id="rId29" Type="http://schemas.openxmlformats.org/officeDocument/2006/relationships/hyperlink" Target="https://www.conrad.de/de/p/3m-vhb-5952f-5952f-193-doppelseitiges-klebeband-vhb-5952f-schwarz-l-x-b-3-m-x-19-mm-1-st-806742.html" TargetMode="External"/><Relationship Id="rId1" Type="http://schemas.openxmlformats.org/officeDocument/2006/relationships/hyperlink" Target="https://www.reichelt.de/punkt-lasermodul-rot-650-nm-3-vdc-6-5x17-mm-klasse-2-pico-70115864-p254429.html?CCOUNTRY=445&amp;LANGUAGE=de&amp;trstct=pos_12&amp;nbc=1&amp;&amp;r=1" TargetMode="External"/><Relationship Id="rId6" Type="http://schemas.openxmlformats.org/officeDocument/2006/relationships/hyperlink" Target="https://www.reichelt.de/kipphebelschalter-rund-1x-ein-aus-teilbel-rt-ws-r13-112-lpla-p105448.html?&amp;trstct=pos_0&amp;nbc=1" TargetMode="External"/><Relationship Id="rId11" Type="http://schemas.openxmlformats.org/officeDocument/2006/relationships/hyperlink" Target="https://www.reichelt.de/led-5-mm-bedrahtet-gruen-43300-mcd-15--sloan-l5-g81n-gu-p230982.html?&amp;trstct=pol_1&amp;nbc=1" TargetMode="External"/><Relationship Id="rId24" Type="http://schemas.openxmlformats.org/officeDocument/2006/relationships/hyperlink" Target="https://www.reichelt.de/bueschelstecker-4mm-rot-bkl-072164-p235726.html?&amp;trstct=vrt_pdn&amp;nbc=1" TargetMode="External"/><Relationship Id="rId32" Type="http://schemas.openxmlformats.org/officeDocument/2006/relationships/hyperlink" Target="https://www.schraubenhimmel.de/schrauben/zylinderkopf/metrisch-innensechskant/39228/din-912-stahl-8.8-verzinkt-m-3x12-zylinderschrauben-mit-innensechskant" TargetMode="External"/><Relationship Id="rId5" Type="http://schemas.openxmlformats.org/officeDocument/2006/relationships/hyperlink" Target="https://www.reichelt.de/einbaubuchse-aussen-5-6-mm-innen-2-5-mm-dc-072342l-p196471.html?&amp;trstct=pol_15&amp;nbc=1" TargetMode="External"/><Relationship Id="rId15" Type="http://schemas.openxmlformats.org/officeDocument/2006/relationships/hyperlink" Target="https://www.reichelt.de/red-alkaline-batterie-aa-mignon-4er-pack-ans-red-4xaa-p100558.html?&amp;trstct=pos_6&amp;nbc=1" TargetMode="External"/><Relationship Id="rId23" Type="http://schemas.openxmlformats.org/officeDocument/2006/relationships/hyperlink" Target="https://shop.webmart.de/44918/71168/357690/product.html" TargetMode="External"/><Relationship Id="rId28" Type="http://schemas.openxmlformats.org/officeDocument/2006/relationships/hyperlink" Target="https://shop.webmart.de/44918/71168/357690/product.html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reichelt.de/lautsprecherkabel-rot-schwarz-cu-10-m-la-205-10-p9813.html?&amp;trstct=vrt_pdn&amp;nbc=1" TargetMode="External"/><Relationship Id="rId19" Type="http://schemas.openxmlformats.org/officeDocument/2006/relationships/hyperlink" Target="https://astromedia.de/Opti-Media-OM2" TargetMode="External"/><Relationship Id="rId31" Type="http://schemas.openxmlformats.org/officeDocument/2006/relationships/hyperlink" Target="https://www.schraubenhimmel.de/muttern/sechskantmuttern/normale-form/40146/din-934-stahl-6-verzinkt-m-3-sechskantmuttern" TargetMode="External"/><Relationship Id="rId4" Type="http://schemas.openxmlformats.org/officeDocument/2006/relationships/hyperlink" Target="https://www.reichelt.de/hohlstecker-knickschutz-aussen-5-5-mm-innen-2-5-mm-hs-25-9-p8649.html?&amp;trstct=pol_9&amp;nbc=1" TargetMode="External"/><Relationship Id="rId9" Type="http://schemas.openxmlformats.org/officeDocument/2006/relationships/hyperlink" Target="https://www.reichelt.de/schrumpfschlauch-sortiment-schwarz-100-teilig-delock-86271-p152924.html?search=Delock+86271" TargetMode="External"/><Relationship Id="rId14" Type="http://schemas.openxmlformats.org/officeDocument/2006/relationships/hyperlink" Target="https://www.reichelt.de/sekundenkleber-super-glue-140-schnell-aushaertend-20-g-wiko-sg140-20-p98444.html?&amp;trstct=pos_5&amp;nbc=1" TargetMode="External"/><Relationship Id="rId22" Type="http://schemas.openxmlformats.org/officeDocument/2006/relationships/hyperlink" Target="https://www.magnethandel.de/neocube-216-magnetkugeln-kugelmagnete-magnetset-nickel" TargetMode="External"/><Relationship Id="rId27" Type="http://schemas.openxmlformats.org/officeDocument/2006/relationships/hyperlink" Target="https://www.reichelt.de/micro-arcade-button-mit-mikrostaster-27-1-mm-schwarz-arc-button-mc-bk-p252669.html?&amp;trstct=pol_1&amp;nbc=1" TargetMode="External"/><Relationship Id="rId30" Type="http://schemas.openxmlformats.org/officeDocument/2006/relationships/hyperlink" Target="https://o3q.de/anleitungen-dateien/" TargetMode="External"/><Relationship Id="rId35" Type="http://schemas.openxmlformats.org/officeDocument/2006/relationships/hyperlink" Target="https://www.reichelt.de/spiralschlauch-3-25-mm-10-m-weiss-quad-2111c141-p332584.html" TargetMode="External"/><Relationship Id="rId8" Type="http://schemas.openxmlformats.org/officeDocument/2006/relationships/hyperlink" Target="https://www.reichelt.de/duennschichtwiderstand-axial-0-6-w-47-ohm-1--vi-mbb02070c4709-p233747.html?&amp;trstct=pos_1&amp;nb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D8C3-DE97-402C-97A2-196270480E76}">
  <dimension ref="A1:T33"/>
  <sheetViews>
    <sheetView workbookViewId="0">
      <selection activeCell="B14" sqref="B14"/>
    </sheetView>
  </sheetViews>
  <sheetFormatPr baseColWidth="10" defaultRowHeight="15" x14ac:dyDescent="0.25"/>
  <cols>
    <col min="1" max="1" width="30.5703125" customWidth="1"/>
    <col min="2" max="2" width="15.85546875" customWidth="1"/>
    <col min="3" max="3" width="11" customWidth="1"/>
    <col min="4" max="4" width="33.42578125" customWidth="1"/>
    <col min="5" max="5" width="18.85546875" customWidth="1"/>
    <col min="6" max="6" width="20.85546875" customWidth="1"/>
  </cols>
  <sheetData>
    <row r="1" spans="1:20" x14ac:dyDescent="0.25">
      <c r="A1" s="46" t="s">
        <v>62</v>
      </c>
      <c r="B1" s="46"/>
    </row>
    <row r="2" spans="1:20" x14ac:dyDescent="0.25">
      <c r="A2" s="36" t="s">
        <v>63</v>
      </c>
      <c r="B2" s="36" t="s">
        <v>51</v>
      </c>
    </row>
    <row r="3" spans="1:20" x14ac:dyDescent="0.25">
      <c r="A3" t="s">
        <v>55</v>
      </c>
      <c r="B3" s="35">
        <v>1</v>
      </c>
      <c r="F3" s="6"/>
      <c r="G3" s="6"/>
    </row>
    <row r="4" spans="1:20" x14ac:dyDescent="0.25">
      <c r="A4" t="s">
        <v>56</v>
      </c>
      <c r="B4" s="35">
        <v>1</v>
      </c>
    </row>
    <row r="5" spans="1:20" x14ac:dyDescent="0.25">
      <c r="A5" t="s">
        <v>153</v>
      </c>
      <c r="B5" s="35">
        <v>1</v>
      </c>
    </row>
    <row r="6" spans="1:20" x14ac:dyDescent="0.25">
      <c r="A6" t="s">
        <v>152</v>
      </c>
      <c r="B6" s="35">
        <v>1</v>
      </c>
    </row>
    <row r="7" spans="1:20" x14ac:dyDescent="0.25">
      <c r="A7" t="s">
        <v>61</v>
      </c>
      <c r="B7" s="35">
        <v>1</v>
      </c>
    </row>
    <row r="8" spans="1:20" x14ac:dyDescent="0.25">
      <c r="A8" t="s">
        <v>60</v>
      </c>
      <c r="B8" s="35">
        <v>1</v>
      </c>
    </row>
    <row r="9" spans="1:20" x14ac:dyDescent="0.25">
      <c r="A9" t="s">
        <v>108</v>
      </c>
      <c r="B9" s="35">
        <v>0</v>
      </c>
    </row>
    <row r="10" spans="1:20" x14ac:dyDescent="0.25">
      <c r="B10" s="35"/>
    </row>
    <row r="11" spans="1:20" ht="15.75" x14ac:dyDescent="0.25">
      <c r="A11" s="37" t="s">
        <v>64</v>
      </c>
      <c r="B11" s="38"/>
      <c r="D11" s="8"/>
      <c r="E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25">
      <c r="A12" t="s">
        <v>144</v>
      </c>
      <c r="B12" s="35">
        <v>0</v>
      </c>
    </row>
    <row r="13" spans="1:20" x14ac:dyDescent="0.25">
      <c r="A13" t="s">
        <v>12</v>
      </c>
      <c r="B13" s="35">
        <v>0</v>
      </c>
    </row>
    <row r="14" spans="1:20" x14ac:dyDescent="0.25">
      <c r="A14" t="s">
        <v>15</v>
      </c>
      <c r="B14" s="35">
        <v>0</v>
      </c>
    </row>
    <row r="15" spans="1:20" x14ac:dyDescent="0.25">
      <c r="A15" t="s">
        <v>165</v>
      </c>
      <c r="B15" s="35">
        <v>0</v>
      </c>
    </row>
    <row r="16" spans="1:20" x14ac:dyDescent="0.25">
      <c r="A16" t="s">
        <v>32</v>
      </c>
      <c r="B16" s="35">
        <v>0</v>
      </c>
    </row>
    <row r="17" spans="1:2" x14ac:dyDescent="0.25">
      <c r="A17" t="s">
        <v>19</v>
      </c>
      <c r="B17" s="35">
        <v>0</v>
      </c>
    </row>
    <row r="18" spans="1:2" x14ac:dyDescent="0.25">
      <c r="A18" t="s">
        <v>18</v>
      </c>
      <c r="B18" s="35">
        <v>0</v>
      </c>
    </row>
    <row r="19" spans="1:2" x14ac:dyDescent="0.25">
      <c r="A19" t="s">
        <v>123</v>
      </c>
      <c r="B19" s="35">
        <v>0</v>
      </c>
    </row>
    <row r="20" spans="1:2" x14ac:dyDescent="0.25">
      <c r="A20" t="s">
        <v>6</v>
      </c>
      <c r="B20" s="35">
        <v>0</v>
      </c>
    </row>
    <row r="21" spans="1:2" x14ac:dyDescent="0.25">
      <c r="A21" t="s">
        <v>25</v>
      </c>
      <c r="B21" s="35">
        <v>0</v>
      </c>
    </row>
    <row r="22" spans="1:2" x14ac:dyDescent="0.25">
      <c r="A22" t="s">
        <v>45</v>
      </c>
      <c r="B22" s="35">
        <v>0</v>
      </c>
    </row>
    <row r="23" spans="1:2" x14ac:dyDescent="0.25">
      <c r="A23" t="s">
        <v>26</v>
      </c>
      <c r="B23" s="35">
        <v>0</v>
      </c>
    </row>
    <row r="24" spans="1:2" x14ac:dyDescent="0.25">
      <c r="A24" t="s">
        <v>28</v>
      </c>
      <c r="B24" s="35">
        <v>0</v>
      </c>
    </row>
    <row r="25" spans="1:2" x14ac:dyDescent="0.25">
      <c r="A25" t="s">
        <v>29</v>
      </c>
      <c r="B25" s="35">
        <v>0</v>
      </c>
    </row>
    <row r="26" spans="1:2" x14ac:dyDescent="0.25">
      <c r="A26" t="s">
        <v>30</v>
      </c>
      <c r="B26" s="35">
        <v>0</v>
      </c>
    </row>
    <row r="27" spans="1:2" x14ac:dyDescent="0.25">
      <c r="A27" t="s">
        <v>43</v>
      </c>
      <c r="B27" s="35">
        <v>0</v>
      </c>
    </row>
    <row r="28" spans="1:2" x14ac:dyDescent="0.25">
      <c r="A28" t="s">
        <v>44</v>
      </c>
      <c r="B28" s="35">
        <v>0</v>
      </c>
    </row>
    <row r="29" spans="1:2" x14ac:dyDescent="0.25">
      <c r="A29" t="s">
        <v>31</v>
      </c>
      <c r="B29" s="35">
        <v>0</v>
      </c>
    </row>
    <row r="30" spans="1:2" x14ac:dyDescent="0.25">
      <c r="A30" t="s">
        <v>42</v>
      </c>
      <c r="B30" s="35">
        <v>0</v>
      </c>
    </row>
    <row r="31" spans="1:2" x14ac:dyDescent="0.25">
      <c r="A31" t="s">
        <v>121</v>
      </c>
      <c r="B31" s="35">
        <v>0</v>
      </c>
    </row>
    <row r="32" spans="1:2" x14ac:dyDescent="0.25">
      <c r="A32" t="s">
        <v>122</v>
      </c>
      <c r="B32" s="35">
        <v>0</v>
      </c>
    </row>
    <row r="33" spans="1:2" x14ac:dyDescent="0.25">
      <c r="A33" t="s">
        <v>148</v>
      </c>
      <c r="B33" s="35">
        <v>0</v>
      </c>
    </row>
  </sheetData>
  <mergeCells count="1">
    <mergeCell ref="A1:B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4E63-4D3B-44A2-A4FD-5BEE8E2EC5EB}">
  <dimension ref="A1:AB133"/>
  <sheetViews>
    <sheetView tabSelected="1" zoomScale="115" zoomScaleNormal="115" workbookViewId="0">
      <pane xSplit="3" ySplit="2" topLeftCell="D59" activePane="bottomRight" state="frozen"/>
      <selection pane="topRight" activeCell="D1" sqref="D1"/>
      <selection pane="bottomLeft" activeCell="A3" sqref="A3"/>
      <selection pane="bottomRight" activeCell="C10" sqref="C10"/>
    </sheetView>
  </sheetViews>
  <sheetFormatPr baseColWidth="10" defaultRowHeight="15" x14ac:dyDescent="0.25"/>
  <cols>
    <col min="1" max="1" width="36.5703125" customWidth="1"/>
    <col min="2" max="2" width="15.28515625" customWidth="1"/>
    <col min="3" max="3" width="8.28515625" style="33" customWidth="1"/>
    <col min="4" max="25" width="5.7109375" customWidth="1"/>
  </cols>
  <sheetData>
    <row r="1" spans="1:27" ht="78.75" customHeight="1" x14ac:dyDescent="0.25">
      <c r="A1" s="14" t="s">
        <v>124</v>
      </c>
      <c r="B1" s="12" t="s">
        <v>52</v>
      </c>
      <c r="C1" s="25" t="s">
        <v>157</v>
      </c>
      <c r="D1" s="13" t="s">
        <v>144</v>
      </c>
      <c r="E1" s="13" t="s">
        <v>12</v>
      </c>
      <c r="F1" s="13" t="s">
        <v>15</v>
      </c>
      <c r="G1" s="13" t="s">
        <v>165</v>
      </c>
      <c r="H1" s="13" t="s">
        <v>32</v>
      </c>
      <c r="I1" s="13" t="s">
        <v>19</v>
      </c>
      <c r="J1" s="13" t="s">
        <v>18</v>
      </c>
      <c r="K1" s="13" t="s">
        <v>123</v>
      </c>
      <c r="L1" s="13" t="s">
        <v>6</v>
      </c>
      <c r="M1" s="13" t="s">
        <v>25</v>
      </c>
      <c r="N1" s="13" t="s">
        <v>45</v>
      </c>
      <c r="O1" s="13" t="s">
        <v>26</v>
      </c>
      <c r="P1" s="13" t="s">
        <v>28</v>
      </c>
      <c r="Q1" s="13" t="s">
        <v>29</v>
      </c>
      <c r="R1" s="13" t="s">
        <v>30</v>
      </c>
      <c r="S1" s="13" t="s">
        <v>43</v>
      </c>
      <c r="T1" s="13" t="s">
        <v>44</v>
      </c>
      <c r="U1" s="13" t="s">
        <v>31</v>
      </c>
      <c r="V1" s="13" t="s">
        <v>42</v>
      </c>
      <c r="W1" s="13" t="s">
        <v>121</v>
      </c>
      <c r="X1" s="13" t="s">
        <v>122</v>
      </c>
      <c r="Y1" s="13" t="s">
        <v>148</v>
      </c>
      <c r="Z1" s="39"/>
      <c r="AA1" s="39"/>
    </row>
    <row r="2" spans="1:27" s="17" customFormat="1" ht="15.75" thickBot="1" x14ac:dyDescent="0.3">
      <c r="A2" s="18" t="s">
        <v>53</v>
      </c>
      <c r="B2" s="19"/>
      <c r="C2" s="26">
        <f>SUM(L2:W2)</f>
        <v>18</v>
      </c>
      <c r="D2" s="34" cm="1">
        <f t="array" ref="D2">MAX(D102:D108*$C102:$C108)+SUM(D110:D130*$C110:$C130)</f>
        <v>1</v>
      </c>
      <c r="E2" s="34" cm="1">
        <f t="array" ref="E2">MAX(E102:E108*$C102:$C108)+SUM(E110:E130*$C110:$C130)</f>
        <v>0</v>
      </c>
      <c r="F2" s="34" cm="1">
        <f t="array" ref="F2">MAX(F102:F108*$C102:$C108)+SUM(F110:F130*$C110:$C130)</f>
        <v>2</v>
      </c>
      <c r="G2" s="34" cm="1">
        <f t="array" ref="G2">MAX(G102:G108*$C102:$C108)+SUM(G110:G130*$C110:$C130)</f>
        <v>0</v>
      </c>
      <c r="H2" s="34" cm="1">
        <f t="array" ref="H2">MAX(H102:H108*$C102:$C108)+SUM(H110:H130*$C110:$C130)</f>
        <v>1</v>
      </c>
      <c r="I2" s="34" cm="1">
        <f t="array" ref="I2">MAX(I102:I108*$C102:$C108)+SUM(I110:I130*$C110:$C130)</f>
        <v>1</v>
      </c>
      <c r="J2" s="34" cm="1">
        <f t="array" ref="J2">MAX(J102:J108*$C102:$C108)+SUM(J110:J130*$C110:$C130)</f>
        <v>1</v>
      </c>
      <c r="K2" s="34" cm="1">
        <f t="array" ref="K2">MAX(K102:K108*$C102:$C108)+SUM(K110:K130*$C110:$C130)</f>
        <v>0</v>
      </c>
      <c r="L2" s="34" cm="1">
        <f t="array" ref="L2">MAX(L102:L108*$C102:$C108)+SUM(L110:L130*$C110:$C130)</f>
        <v>0</v>
      </c>
      <c r="M2" s="34" cm="1">
        <f t="array" ref="M2">MAX(M102:M108*$C102:$C108)+SUM(M110:M130*$C110:$C130)</f>
        <v>2</v>
      </c>
      <c r="N2" s="34" cm="1">
        <f t="array" ref="N2">MAX(N102:N108*$C102:$C108)+SUM(N110:N130*$C110:$C130)</f>
        <v>1</v>
      </c>
      <c r="O2" s="34" cm="1">
        <f t="array" ref="O2">MAX(O102:O108*$C102:$C108)+SUM(O110:O130*$C110:$C130)</f>
        <v>3</v>
      </c>
      <c r="P2" s="34" cm="1">
        <f t="array" ref="P2">MAX(P102:P108*$C102:$C108)+SUM(P110:P130*$C110:$C130)</f>
        <v>1</v>
      </c>
      <c r="Q2" s="34" cm="1">
        <f t="array" ref="Q2">MAX(Q102:Q108*$C102:$C108)+SUM(Q110:Q130*$C110:$C130)</f>
        <v>1</v>
      </c>
      <c r="R2" s="34" cm="1">
        <f t="array" ref="R2">MAX(R102:R108*$C102:$C108)+SUM(R110:R130*$C110:$C130)</f>
        <v>1</v>
      </c>
      <c r="S2" s="34" cm="1">
        <f t="array" ref="S2">MAX(S102:S108*$C102:$C108)+SUM(S110:S130*$C110:$C130)</f>
        <v>5</v>
      </c>
      <c r="T2" s="34" cm="1">
        <f t="array" ref="T2">MAX(T102:T108*$C102:$C108)+SUM(T110:T130*$C110:$C130)</f>
        <v>1</v>
      </c>
      <c r="U2" s="34" cm="1">
        <f t="array" ref="U2">MAX(U102:U108*$C102:$C108)+SUM(U110:U130*$C110:$C130)</f>
        <v>2</v>
      </c>
      <c r="V2" s="34" cm="1">
        <f t="array" ref="V2">MAX(V102:V108*$C102:$C108)+SUM(V110:V130*$C110:$C130)</f>
        <v>1</v>
      </c>
      <c r="W2" s="34" cm="1">
        <f t="array" ref="W2">MAX(W102:W108*$C102:$C108)+SUM(W110:W130*$C110:$C130)</f>
        <v>0</v>
      </c>
      <c r="X2" s="34" cm="1">
        <f t="array" ref="X2">MAX(X102:X108*$C102:$C108)+SUM(X110:X130*$C110:$C130)</f>
        <v>0</v>
      </c>
      <c r="Y2" s="34" cm="1">
        <f t="array" ref="Y2">MAX(Y102:Y108*$C102:$C108)+SUM(Y110:Y131*$C110:$C131)</f>
        <v>0</v>
      </c>
    </row>
    <row r="3" spans="1:27" ht="15.75" thickTop="1" x14ac:dyDescent="0.25">
      <c r="A3" s="7" t="s">
        <v>83</v>
      </c>
      <c r="B3" s="1" t="s">
        <v>158</v>
      </c>
      <c r="C3" s="27">
        <f t="shared" ref="C3:C34" si="0">SUMPRODUCT(D3:Y3,D$2:Y$2)</f>
        <v>0</v>
      </c>
      <c r="D3">
        <v>0</v>
      </c>
      <c r="E3">
        <v>1</v>
      </c>
    </row>
    <row r="4" spans="1:27" x14ac:dyDescent="0.25">
      <c r="A4" s="7" t="s">
        <v>143</v>
      </c>
      <c r="B4" s="1" t="s">
        <v>158</v>
      </c>
      <c r="C4" s="27">
        <f t="shared" si="0"/>
        <v>2</v>
      </c>
      <c r="D4">
        <v>2</v>
      </c>
    </row>
    <row r="5" spans="1:27" s="16" customFormat="1" x14ac:dyDescent="0.25">
      <c r="A5" s="22" t="s">
        <v>142</v>
      </c>
      <c r="B5" s="1" t="s">
        <v>158</v>
      </c>
      <c r="C5" s="28">
        <f t="shared" si="0"/>
        <v>3</v>
      </c>
      <c r="D5" s="16">
        <v>3</v>
      </c>
    </row>
    <row r="6" spans="1:27" x14ac:dyDescent="0.25">
      <c r="A6" s="3" t="s">
        <v>86</v>
      </c>
      <c r="B6" s="1" t="s">
        <v>158</v>
      </c>
      <c r="C6" s="27">
        <f t="shared" si="0"/>
        <v>18</v>
      </c>
      <c r="F6">
        <v>1</v>
      </c>
      <c r="G6">
        <v>1</v>
      </c>
      <c r="H6">
        <v>1</v>
      </c>
      <c r="I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27" x14ac:dyDescent="0.25">
      <c r="A7" s="3" t="s">
        <v>87</v>
      </c>
      <c r="B7" s="1" t="s">
        <v>158</v>
      </c>
      <c r="C7" s="27">
        <f t="shared" si="0"/>
        <v>1</v>
      </c>
      <c r="K7">
        <v>1</v>
      </c>
      <c r="T7">
        <v>1</v>
      </c>
    </row>
    <row r="8" spans="1:27" x14ac:dyDescent="0.25">
      <c r="A8" s="10" t="s">
        <v>88</v>
      </c>
      <c r="B8" s="1" t="s">
        <v>158</v>
      </c>
      <c r="C8" s="27">
        <f t="shared" si="0"/>
        <v>0</v>
      </c>
      <c r="X8">
        <v>1</v>
      </c>
    </row>
    <row r="9" spans="1:27" x14ac:dyDescent="0.25">
      <c r="A9" s="3" t="s">
        <v>89</v>
      </c>
      <c r="B9" s="1" t="s">
        <v>158</v>
      </c>
      <c r="C9" s="27">
        <f t="shared" si="0"/>
        <v>1</v>
      </c>
      <c r="J9">
        <v>1</v>
      </c>
    </row>
    <row r="10" spans="1:27" x14ac:dyDescent="0.25">
      <c r="A10" s="3" t="s">
        <v>137</v>
      </c>
      <c r="B10" s="1" t="s">
        <v>158</v>
      </c>
      <c r="C10" s="27">
        <f t="shared" si="0"/>
        <v>0</v>
      </c>
      <c r="W10">
        <v>4</v>
      </c>
    </row>
    <row r="11" spans="1:27" x14ac:dyDescent="0.25">
      <c r="A11" s="3" t="s">
        <v>146</v>
      </c>
      <c r="B11" s="1" t="s">
        <v>158</v>
      </c>
      <c r="C11" s="27">
        <f t="shared" si="0"/>
        <v>0</v>
      </c>
      <c r="Y11">
        <v>2</v>
      </c>
    </row>
    <row r="12" spans="1:27" s="16" customFormat="1" x14ac:dyDescent="0.25">
      <c r="A12" s="3" t="s">
        <v>147</v>
      </c>
      <c r="B12" s="1" t="s">
        <v>158</v>
      </c>
      <c r="C12" s="27">
        <f t="shared" si="0"/>
        <v>0</v>
      </c>
      <c r="Y12" s="16">
        <v>2</v>
      </c>
    </row>
    <row r="13" spans="1:27" x14ac:dyDescent="0.25">
      <c r="A13" s="2" t="s">
        <v>90</v>
      </c>
      <c r="B13" s="1" t="s">
        <v>158</v>
      </c>
      <c r="C13" s="27">
        <f t="shared" si="0"/>
        <v>18</v>
      </c>
      <c r="F13">
        <v>1</v>
      </c>
      <c r="G13">
        <v>1</v>
      </c>
      <c r="H13">
        <v>1</v>
      </c>
      <c r="I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27" x14ac:dyDescent="0.25">
      <c r="A14" s="2" t="s">
        <v>82</v>
      </c>
      <c r="B14" s="1" t="s">
        <v>158</v>
      </c>
      <c r="C14" s="27">
        <f t="shared" si="0"/>
        <v>0</v>
      </c>
      <c r="K14">
        <v>1</v>
      </c>
    </row>
    <row r="15" spans="1:27" x14ac:dyDescent="0.25">
      <c r="A15" s="2" t="s">
        <v>107</v>
      </c>
      <c r="B15" s="1" t="s">
        <v>158</v>
      </c>
      <c r="C15" s="27">
        <f t="shared" si="0"/>
        <v>0</v>
      </c>
      <c r="X15">
        <v>1</v>
      </c>
    </row>
    <row r="16" spans="1:27" s="16" customFormat="1" x14ac:dyDescent="0.25">
      <c r="A16" s="23" t="s">
        <v>91</v>
      </c>
      <c r="B16" s="1" t="s">
        <v>158</v>
      </c>
      <c r="C16" s="28">
        <f t="shared" si="0"/>
        <v>1</v>
      </c>
      <c r="J16" s="16">
        <v>1</v>
      </c>
    </row>
    <row r="17" spans="1:23" x14ac:dyDescent="0.25">
      <c r="A17" s="4" t="s">
        <v>114</v>
      </c>
      <c r="B17" s="1" t="s">
        <v>158</v>
      </c>
      <c r="C17" s="27">
        <f t="shared" si="0"/>
        <v>1</v>
      </c>
      <c r="T17">
        <v>1</v>
      </c>
    </row>
    <row r="18" spans="1:23" x14ac:dyDescent="0.25">
      <c r="A18" s="4" t="s">
        <v>115</v>
      </c>
      <c r="B18" s="1" t="s">
        <v>158</v>
      </c>
      <c r="C18" s="27">
        <f t="shared" si="0"/>
        <v>1</v>
      </c>
      <c r="T18">
        <v>1</v>
      </c>
    </row>
    <row r="19" spans="1:23" x14ac:dyDescent="0.25">
      <c r="A19" s="4" t="s">
        <v>116</v>
      </c>
      <c r="B19" s="1" t="s">
        <v>158</v>
      </c>
      <c r="C19" s="27">
        <f t="shared" si="0"/>
        <v>1</v>
      </c>
      <c r="T19">
        <v>1</v>
      </c>
    </row>
    <row r="20" spans="1:23" x14ac:dyDescent="0.25">
      <c r="A20" s="4" t="s">
        <v>151</v>
      </c>
      <c r="B20" s="1" t="s">
        <v>158</v>
      </c>
      <c r="C20" s="27">
        <f t="shared" si="0"/>
        <v>0</v>
      </c>
      <c r="W20">
        <v>2</v>
      </c>
    </row>
    <row r="21" spans="1:23" x14ac:dyDescent="0.25">
      <c r="A21" s="4" t="s">
        <v>134</v>
      </c>
      <c r="B21" s="1" t="s">
        <v>158</v>
      </c>
      <c r="C21" s="27">
        <f t="shared" si="0"/>
        <v>0</v>
      </c>
      <c r="W21">
        <v>1</v>
      </c>
    </row>
    <row r="22" spans="1:23" x14ac:dyDescent="0.25">
      <c r="A22" s="4" t="s">
        <v>135</v>
      </c>
      <c r="B22" s="1" t="s">
        <v>158</v>
      </c>
      <c r="C22" s="27">
        <f t="shared" si="0"/>
        <v>0</v>
      </c>
      <c r="W22">
        <v>1</v>
      </c>
    </row>
    <row r="23" spans="1:23" x14ac:dyDescent="0.25">
      <c r="A23" s="11" t="s">
        <v>92</v>
      </c>
      <c r="B23" s="1" t="s">
        <v>158</v>
      </c>
      <c r="C23" s="27">
        <f t="shared" si="0"/>
        <v>5</v>
      </c>
      <c r="H23">
        <v>1</v>
      </c>
      <c r="I23">
        <v>1</v>
      </c>
      <c r="L23">
        <v>1</v>
      </c>
      <c r="M23">
        <v>1</v>
      </c>
      <c r="N23">
        <v>1</v>
      </c>
    </row>
    <row r="24" spans="1:23" x14ac:dyDescent="0.25">
      <c r="A24" s="4" t="s">
        <v>93</v>
      </c>
      <c r="B24" s="1" t="s">
        <v>158</v>
      </c>
      <c r="C24" s="27">
        <f t="shared" si="0"/>
        <v>3</v>
      </c>
      <c r="O24">
        <v>1</v>
      </c>
    </row>
    <row r="25" spans="1:23" x14ac:dyDescent="0.25">
      <c r="A25" s="4" t="s">
        <v>94</v>
      </c>
      <c r="B25" s="1" t="s">
        <v>158</v>
      </c>
      <c r="C25" s="27">
        <f t="shared" si="0"/>
        <v>1</v>
      </c>
      <c r="H25">
        <v>1</v>
      </c>
      <c r="L25">
        <v>1</v>
      </c>
    </row>
    <row r="26" spans="1:23" x14ac:dyDescent="0.25">
      <c r="A26" s="4" t="s">
        <v>95</v>
      </c>
      <c r="B26" s="1" t="s">
        <v>158</v>
      </c>
      <c r="C26" s="27">
        <f t="shared" si="0"/>
        <v>1</v>
      </c>
      <c r="H26">
        <v>1</v>
      </c>
      <c r="L26">
        <v>1</v>
      </c>
    </row>
    <row r="27" spans="1:23" x14ac:dyDescent="0.25">
      <c r="A27" s="4" t="s">
        <v>96</v>
      </c>
      <c r="B27" s="1" t="s">
        <v>158</v>
      </c>
      <c r="C27" s="27">
        <f t="shared" si="0"/>
        <v>1</v>
      </c>
      <c r="I27">
        <v>1</v>
      </c>
    </row>
    <row r="28" spans="1:23" x14ac:dyDescent="0.25">
      <c r="A28" s="4" t="s">
        <v>97</v>
      </c>
      <c r="B28" s="1" t="s">
        <v>158</v>
      </c>
      <c r="C28" s="27">
        <f t="shared" si="0"/>
        <v>5</v>
      </c>
      <c r="M28">
        <v>1</v>
      </c>
      <c r="O28">
        <v>1</v>
      </c>
    </row>
    <row r="29" spans="1:23" x14ac:dyDescent="0.25">
      <c r="A29" s="4" t="s">
        <v>98</v>
      </c>
      <c r="B29" s="1" t="s">
        <v>158</v>
      </c>
      <c r="C29" s="27">
        <f t="shared" si="0"/>
        <v>1</v>
      </c>
      <c r="N29">
        <v>1</v>
      </c>
    </row>
    <row r="30" spans="1:23" x14ac:dyDescent="0.25">
      <c r="A30" s="4" t="s">
        <v>99</v>
      </c>
      <c r="B30" s="1" t="s">
        <v>158</v>
      </c>
      <c r="C30" s="27">
        <f t="shared" si="0"/>
        <v>2</v>
      </c>
      <c r="F30">
        <v>1</v>
      </c>
      <c r="G30">
        <v>1</v>
      </c>
    </row>
    <row r="31" spans="1:23" x14ac:dyDescent="0.25">
      <c r="A31" s="4" t="s">
        <v>100</v>
      </c>
      <c r="B31" s="1" t="s">
        <v>158</v>
      </c>
      <c r="C31" s="27">
        <f t="shared" si="0"/>
        <v>2</v>
      </c>
      <c r="F31">
        <v>1</v>
      </c>
    </row>
    <row r="32" spans="1:23" x14ac:dyDescent="0.25">
      <c r="A32" s="4" t="s">
        <v>101</v>
      </c>
      <c r="B32" s="1" t="s">
        <v>158</v>
      </c>
      <c r="C32" s="27">
        <f t="shared" si="0"/>
        <v>2</v>
      </c>
      <c r="F32">
        <v>1</v>
      </c>
    </row>
    <row r="33" spans="1:24" x14ac:dyDescent="0.25">
      <c r="A33" s="4" t="s">
        <v>163</v>
      </c>
      <c r="B33" s="1" t="s">
        <v>158</v>
      </c>
      <c r="C33" s="27">
        <f t="shared" si="0"/>
        <v>0</v>
      </c>
      <c r="G33">
        <v>1</v>
      </c>
    </row>
    <row r="34" spans="1:24" x14ac:dyDescent="0.25">
      <c r="A34" s="4" t="s">
        <v>164</v>
      </c>
      <c r="B34" s="1" t="s">
        <v>158</v>
      </c>
      <c r="C34" s="27">
        <f t="shared" si="0"/>
        <v>0</v>
      </c>
      <c r="G34">
        <v>1</v>
      </c>
    </row>
    <row r="35" spans="1:24" x14ac:dyDescent="0.25">
      <c r="A35" s="4" t="s">
        <v>102</v>
      </c>
      <c r="B35" s="1" t="s">
        <v>158</v>
      </c>
      <c r="C35" s="27">
        <f t="shared" ref="C35:C56" si="1">SUMPRODUCT(D35:Y35,D$2:Y$2)</f>
        <v>0</v>
      </c>
    </row>
    <row r="36" spans="1:24" x14ac:dyDescent="0.25">
      <c r="A36" s="4" t="s">
        <v>103</v>
      </c>
      <c r="B36" s="1" t="s">
        <v>158</v>
      </c>
      <c r="C36" s="27">
        <f t="shared" si="1"/>
        <v>1</v>
      </c>
      <c r="P36">
        <v>1</v>
      </c>
    </row>
    <row r="37" spans="1:24" x14ac:dyDescent="0.25">
      <c r="A37" s="4" t="s">
        <v>104</v>
      </c>
      <c r="B37" s="1" t="s">
        <v>158</v>
      </c>
      <c r="C37" s="27">
        <f t="shared" si="1"/>
        <v>1</v>
      </c>
      <c r="Q37">
        <v>1</v>
      </c>
    </row>
    <row r="38" spans="1:24" x14ac:dyDescent="0.25">
      <c r="A38" s="4" t="s">
        <v>105</v>
      </c>
      <c r="B38" s="1" t="s">
        <v>158</v>
      </c>
      <c r="C38" s="27">
        <f t="shared" si="1"/>
        <v>1</v>
      </c>
      <c r="R38">
        <v>1</v>
      </c>
    </row>
    <row r="39" spans="1:24" x14ac:dyDescent="0.25">
      <c r="A39" s="4" t="s">
        <v>111</v>
      </c>
      <c r="B39" s="1" t="s">
        <v>158</v>
      </c>
      <c r="C39" s="27">
        <f t="shared" si="1"/>
        <v>5</v>
      </c>
      <c r="S39">
        <v>1</v>
      </c>
    </row>
    <row r="40" spans="1:24" x14ac:dyDescent="0.25">
      <c r="A40" s="4" t="s">
        <v>112</v>
      </c>
      <c r="B40" s="1" t="s">
        <v>158</v>
      </c>
      <c r="C40" s="27">
        <f t="shared" si="1"/>
        <v>5</v>
      </c>
      <c r="S40">
        <v>1</v>
      </c>
    </row>
    <row r="41" spans="1:24" x14ac:dyDescent="0.25">
      <c r="A41" s="4" t="s">
        <v>113</v>
      </c>
      <c r="B41" s="1" t="s">
        <v>158</v>
      </c>
      <c r="C41" s="27">
        <f t="shared" si="1"/>
        <v>5</v>
      </c>
      <c r="S41">
        <v>1</v>
      </c>
    </row>
    <row r="42" spans="1:24" x14ac:dyDescent="0.25">
      <c r="A42" s="4" t="s">
        <v>126</v>
      </c>
      <c r="B42" s="1" t="s">
        <v>158</v>
      </c>
      <c r="C42" s="27">
        <f t="shared" si="1"/>
        <v>0</v>
      </c>
      <c r="X42">
        <v>1</v>
      </c>
    </row>
    <row r="43" spans="1:24" x14ac:dyDescent="0.25">
      <c r="A43" s="4" t="s">
        <v>127</v>
      </c>
      <c r="B43" s="1" t="s">
        <v>158</v>
      </c>
      <c r="C43" s="27">
        <f t="shared" si="1"/>
        <v>0</v>
      </c>
      <c r="X43">
        <v>1</v>
      </c>
    </row>
    <row r="44" spans="1:24" x14ac:dyDescent="0.25">
      <c r="A44" s="4" t="s">
        <v>128</v>
      </c>
      <c r="B44" s="1" t="s">
        <v>158</v>
      </c>
      <c r="C44" s="27">
        <f t="shared" si="1"/>
        <v>0</v>
      </c>
      <c r="X44">
        <v>1</v>
      </c>
    </row>
    <row r="45" spans="1:24" x14ac:dyDescent="0.25">
      <c r="A45" s="4" t="s">
        <v>129</v>
      </c>
      <c r="B45" s="1" t="s">
        <v>158</v>
      </c>
      <c r="C45" s="27">
        <f t="shared" si="1"/>
        <v>0</v>
      </c>
      <c r="X45">
        <v>1</v>
      </c>
    </row>
    <row r="46" spans="1:24" x14ac:dyDescent="0.25">
      <c r="A46" s="4" t="s">
        <v>130</v>
      </c>
      <c r="B46" s="1" t="s">
        <v>158</v>
      </c>
      <c r="C46" s="27">
        <f t="shared" si="1"/>
        <v>0</v>
      </c>
      <c r="X46">
        <v>1</v>
      </c>
    </row>
    <row r="47" spans="1:24" s="16" customFormat="1" x14ac:dyDescent="0.25">
      <c r="A47" s="24" t="s">
        <v>131</v>
      </c>
      <c r="B47" s="1" t="s">
        <v>158</v>
      </c>
      <c r="C47" s="28">
        <f t="shared" si="1"/>
        <v>0</v>
      </c>
      <c r="X47" s="16">
        <v>2</v>
      </c>
    </row>
    <row r="48" spans="1:24" x14ac:dyDescent="0.25">
      <c r="A48" t="s">
        <v>154</v>
      </c>
      <c r="B48" s="1" t="s">
        <v>158</v>
      </c>
      <c r="C48" s="27">
        <f t="shared" si="1"/>
        <v>3</v>
      </c>
      <c r="U48">
        <v>1</v>
      </c>
      <c r="V48">
        <v>1</v>
      </c>
    </row>
    <row r="49" spans="1:27" x14ac:dyDescent="0.25">
      <c r="A49" t="s">
        <v>155</v>
      </c>
      <c r="B49" s="1" t="s">
        <v>158</v>
      </c>
      <c r="C49" s="27">
        <f t="shared" si="1"/>
        <v>2</v>
      </c>
      <c r="U49">
        <v>1</v>
      </c>
    </row>
    <row r="50" spans="1:27" s="16" customFormat="1" x14ac:dyDescent="0.25">
      <c r="A50" s="16" t="s">
        <v>156</v>
      </c>
      <c r="B50" s="1" t="s">
        <v>158</v>
      </c>
      <c r="C50" s="27">
        <f t="shared" si="1"/>
        <v>1</v>
      </c>
      <c r="V50" s="16">
        <v>1</v>
      </c>
    </row>
    <row r="51" spans="1:27" x14ac:dyDescent="0.25">
      <c r="A51" s="5" t="s">
        <v>106</v>
      </c>
      <c r="B51" s="1" t="s">
        <v>158</v>
      </c>
      <c r="C51" s="27">
        <f t="shared" si="1"/>
        <v>16</v>
      </c>
      <c r="H51">
        <v>2</v>
      </c>
      <c r="I51">
        <v>2</v>
      </c>
      <c r="L51">
        <v>2</v>
      </c>
      <c r="M51">
        <v>2</v>
      </c>
      <c r="N51">
        <v>2</v>
      </c>
      <c r="O51">
        <v>2</v>
      </c>
    </row>
    <row r="52" spans="1:27" x14ac:dyDescent="0.25">
      <c r="A52" s="9" t="s">
        <v>117</v>
      </c>
      <c r="B52" s="1" t="s">
        <v>158</v>
      </c>
      <c r="C52" s="27">
        <f t="shared" si="1"/>
        <v>1</v>
      </c>
      <c r="T52">
        <v>1</v>
      </c>
    </row>
    <row r="53" spans="1:27" x14ac:dyDescent="0.25">
      <c r="A53" s="9" t="s">
        <v>136</v>
      </c>
      <c r="B53" s="1" t="s">
        <v>158</v>
      </c>
      <c r="C53" s="27">
        <f t="shared" si="1"/>
        <v>0</v>
      </c>
      <c r="W53">
        <v>2</v>
      </c>
    </row>
    <row r="54" spans="1:27" x14ac:dyDescent="0.25">
      <c r="A54" s="9" t="s">
        <v>109</v>
      </c>
      <c r="B54" s="1" t="s">
        <v>158</v>
      </c>
      <c r="C54" s="27">
        <f t="shared" si="1"/>
        <v>5</v>
      </c>
      <c r="S54">
        <v>1</v>
      </c>
    </row>
    <row r="55" spans="1:27" x14ac:dyDescent="0.25">
      <c r="A55" s="9" t="s">
        <v>110</v>
      </c>
      <c r="B55" s="1" t="s">
        <v>158</v>
      </c>
      <c r="C55" s="27">
        <f t="shared" si="1"/>
        <v>5</v>
      </c>
      <c r="S55">
        <v>1</v>
      </c>
    </row>
    <row r="56" spans="1:27" s="17" customFormat="1" ht="15.75" thickBot="1" x14ac:dyDescent="0.3">
      <c r="A56" s="20" t="s">
        <v>132</v>
      </c>
      <c r="B56" s="17" t="s">
        <v>158</v>
      </c>
      <c r="C56" s="29">
        <f t="shared" si="1"/>
        <v>0</v>
      </c>
      <c r="X56" s="17">
        <v>1</v>
      </c>
    </row>
    <row r="57" spans="1:27" ht="15.75" thickTop="1" x14ac:dyDescent="0.25">
      <c r="C57" s="30"/>
      <c r="Z57" s="40"/>
      <c r="AA57" s="40"/>
    </row>
    <row r="58" spans="1:27" x14ac:dyDescent="0.25">
      <c r="A58" s="6" t="s">
        <v>0</v>
      </c>
      <c r="C58" s="30"/>
      <c r="Z58" s="40"/>
      <c r="AA58" s="40"/>
    </row>
    <row r="59" spans="1:27" x14ac:dyDescent="0.25">
      <c r="A59" t="s">
        <v>8</v>
      </c>
      <c r="B59" s="1" t="s">
        <v>68</v>
      </c>
      <c r="C59" s="30">
        <f t="shared" ref="C59:C80" si="2">SUMPRODUCT(D59:Y59,D$2:Y$2)</f>
        <v>1</v>
      </c>
      <c r="H59">
        <v>1</v>
      </c>
      <c r="Z59" s="40"/>
      <c r="AA59" s="40"/>
    </row>
    <row r="60" spans="1:27" x14ac:dyDescent="0.25">
      <c r="A60" t="s">
        <v>9</v>
      </c>
      <c r="B60" s="1" t="s">
        <v>138</v>
      </c>
      <c r="C60" s="30">
        <f t="shared" si="2"/>
        <v>0</v>
      </c>
      <c r="L60">
        <v>1</v>
      </c>
      <c r="Z60" s="40"/>
      <c r="AA60" s="40"/>
    </row>
    <row r="61" spans="1:27" x14ac:dyDescent="0.25">
      <c r="A61" t="s">
        <v>35</v>
      </c>
      <c r="B61" s="1" t="s">
        <v>69</v>
      </c>
      <c r="C61" s="30">
        <f t="shared" si="2"/>
        <v>0</v>
      </c>
      <c r="L61">
        <v>1</v>
      </c>
      <c r="Z61" s="40"/>
      <c r="AA61" s="40"/>
    </row>
    <row r="62" spans="1:27" x14ac:dyDescent="0.25">
      <c r="A62" t="s">
        <v>10</v>
      </c>
      <c r="B62" s="1" t="s">
        <v>70</v>
      </c>
      <c r="C62" s="30">
        <f t="shared" si="2"/>
        <v>2</v>
      </c>
      <c r="H62">
        <v>1</v>
      </c>
      <c r="I62">
        <v>1</v>
      </c>
      <c r="K62">
        <v>1</v>
      </c>
      <c r="Z62" s="40"/>
      <c r="AA62" s="40"/>
    </row>
    <row r="63" spans="1:27" x14ac:dyDescent="0.25">
      <c r="A63" t="s">
        <v>11</v>
      </c>
      <c r="B63" s="1" t="s">
        <v>71</v>
      </c>
      <c r="C63" s="30">
        <f t="shared" si="2"/>
        <v>1</v>
      </c>
      <c r="J63">
        <v>1</v>
      </c>
      <c r="K63">
        <v>1</v>
      </c>
      <c r="Z63" s="40"/>
      <c r="AA63" s="40"/>
    </row>
    <row r="64" spans="1:27" x14ac:dyDescent="0.25">
      <c r="A64" t="s">
        <v>34</v>
      </c>
      <c r="B64" s="1" t="s">
        <v>72</v>
      </c>
      <c r="C64" s="30">
        <f t="shared" si="2"/>
        <v>1</v>
      </c>
      <c r="J64">
        <v>1</v>
      </c>
      <c r="Z64" s="40"/>
      <c r="AA64" s="40"/>
    </row>
    <row r="65" spans="1:27" x14ac:dyDescent="0.25">
      <c r="A65" t="s">
        <v>123</v>
      </c>
      <c r="B65" s="1" t="s">
        <v>125</v>
      </c>
      <c r="C65" s="30">
        <f t="shared" si="2"/>
        <v>0</v>
      </c>
      <c r="K65">
        <v>1</v>
      </c>
      <c r="Z65" s="40"/>
      <c r="AA65" s="40"/>
    </row>
    <row r="66" spans="1:27" x14ac:dyDescent="0.25">
      <c r="A66" t="s">
        <v>58</v>
      </c>
      <c r="B66" s="1" t="s">
        <v>73</v>
      </c>
      <c r="C66" s="30">
        <f t="shared" si="2"/>
        <v>1</v>
      </c>
      <c r="J66">
        <v>1</v>
      </c>
      <c r="Z66" s="40"/>
      <c r="AA66" s="40"/>
    </row>
    <row r="67" spans="1:27" x14ac:dyDescent="0.25">
      <c r="A67" t="s">
        <v>36</v>
      </c>
      <c r="B67" s="1" t="s">
        <v>74</v>
      </c>
      <c r="C67" s="30">
        <f t="shared" si="2"/>
        <v>1</v>
      </c>
      <c r="J67">
        <v>1</v>
      </c>
      <c r="Z67" s="40"/>
      <c r="AA67" s="40"/>
    </row>
    <row r="68" spans="1:27" x14ac:dyDescent="0.25">
      <c r="A68" t="s">
        <v>7</v>
      </c>
      <c r="B68" s="1" t="s">
        <v>75</v>
      </c>
      <c r="C68" s="30">
        <f t="shared" si="2"/>
        <v>4</v>
      </c>
      <c r="H68">
        <v>1</v>
      </c>
      <c r="I68">
        <v>1</v>
      </c>
      <c r="J68">
        <v>1</v>
      </c>
      <c r="K68">
        <v>1</v>
      </c>
      <c r="L68">
        <v>1</v>
      </c>
      <c r="N68">
        <v>1</v>
      </c>
      <c r="Z68" s="40"/>
      <c r="AA68" s="40"/>
    </row>
    <row r="69" spans="1:27" x14ac:dyDescent="0.25">
      <c r="A69" t="s">
        <v>76</v>
      </c>
      <c r="B69" s="1" t="s">
        <v>145</v>
      </c>
      <c r="C69" s="30">
        <f t="shared" si="2"/>
        <v>4</v>
      </c>
      <c r="H69">
        <v>1</v>
      </c>
      <c r="I69">
        <v>1</v>
      </c>
      <c r="J69">
        <v>1</v>
      </c>
      <c r="K69">
        <v>1</v>
      </c>
      <c r="L69">
        <v>1</v>
      </c>
      <c r="N69">
        <v>1</v>
      </c>
      <c r="Z69" s="40"/>
      <c r="AA69" s="40"/>
    </row>
    <row r="70" spans="1:27" x14ac:dyDescent="0.25">
      <c r="A70" t="s">
        <v>167</v>
      </c>
      <c r="B70" s="1" t="s">
        <v>166</v>
      </c>
      <c r="C70" s="30">
        <f t="shared" si="2"/>
        <v>6</v>
      </c>
      <c r="M70">
        <v>1</v>
      </c>
      <c r="N70">
        <v>1</v>
      </c>
      <c r="O70">
        <v>1</v>
      </c>
      <c r="Z70" s="40"/>
      <c r="AA70" s="40"/>
    </row>
    <row r="71" spans="1:27" x14ac:dyDescent="0.25">
      <c r="A71" t="s">
        <v>41</v>
      </c>
      <c r="B71" s="1" t="s">
        <v>40</v>
      </c>
      <c r="C71" s="30">
        <f t="shared" si="2"/>
        <v>1</v>
      </c>
      <c r="I71">
        <v>1</v>
      </c>
      <c r="Z71" s="40"/>
      <c r="AA71" s="40"/>
    </row>
    <row r="72" spans="1:27" x14ac:dyDescent="0.25">
      <c r="A72" t="s">
        <v>139</v>
      </c>
      <c r="B72" s="1" t="s">
        <v>140</v>
      </c>
      <c r="C72" s="30">
        <f t="shared" si="2"/>
        <v>1</v>
      </c>
      <c r="I72">
        <v>1</v>
      </c>
      <c r="Z72" s="40"/>
      <c r="AA72" s="40"/>
    </row>
    <row r="73" spans="1:27" x14ac:dyDescent="0.25">
      <c r="A73" t="s">
        <v>46</v>
      </c>
      <c r="B73" s="1" t="s">
        <v>77</v>
      </c>
      <c r="C73" s="30">
        <f t="shared" si="2"/>
        <v>1</v>
      </c>
      <c r="N73">
        <v>1</v>
      </c>
      <c r="Z73" s="40"/>
      <c r="AA73" s="40"/>
    </row>
    <row r="74" spans="1:27" x14ac:dyDescent="0.25">
      <c r="A74" t="s">
        <v>2</v>
      </c>
      <c r="B74" s="1" t="s">
        <v>78</v>
      </c>
      <c r="C74" s="30">
        <f t="shared" si="2"/>
        <v>1</v>
      </c>
      <c r="N74">
        <v>1</v>
      </c>
      <c r="Z74" s="40"/>
      <c r="AA74" s="40"/>
    </row>
    <row r="75" spans="1:27" x14ac:dyDescent="0.25">
      <c r="A75" t="s">
        <v>1</v>
      </c>
      <c r="B75" s="1" t="s">
        <v>118</v>
      </c>
      <c r="C75" s="30">
        <f t="shared" si="2"/>
        <v>1</v>
      </c>
      <c r="N75">
        <v>1</v>
      </c>
      <c r="Z75" s="40"/>
      <c r="AA75" s="40"/>
    </row>
    <row r="76" spans="1:27" x14ac:dyDescent="0.25">
      <c r="A76" t="s">
        <v>119</v>
      </c>
      <c r="B76" s="1" t="s">
        <v>120</v>
      </c>
      <c r="C76" s="30">
        <f t="shared" si="2"/>
        <v>30</v>
      </c>
      <c r="F76">
        <v>2</v>
      </c>
      <c r="G76">
        <v>2</v>
      </c>
      <c r="H76">
        <v>4</v>
      </c>
      <c r="I76">
        <v>4</v>
      </c>
      <c r="L76">
        <v>4</v>
      </c>
      <c r="M76">
        <v>3</v>
      </c>
      <c r="N76">
        <v>3</v>
      </c>
      <c r="O76">
        <v>3</v>
      </c>
      <c r="W76">
        <v>6</v>
      </c>
      <c r="Z76" s="40"/>
      <c r="AA76" s="40"/>
    </row>
    <row r="77" spans="1:27" x14ac:dyDescent="0.25">
      <c r="A77" t="s">
        <v>50</v>
      </c>
      <c r="B77" s="21" t="s">
        <v>79</v>
      </c>
      <c r="C77" s="30">
        <f t="shared" si="2"/>
        <v>2</v>
      </c>
      <c r="T77">
        <v>1</v>
      </c>
      <c r="V77">
        <v>1</v>
      </c>
      <c r="Z77" s="40"/>
      <c r="AA77" s="40"/>
    </row>
    <row r="78" spans="1:27" x14ac:dyDescent="0.25">
      <c r="A78" t="s">
        <v>168</v>
      </c>
      <c r="B78" s="21" t="s">
        <v>169</v>
      </c>
      <c r="C78" s="30">
        <f t="shared" si="2"/>
        <v>3</v>
      </c>
      <c r="H78">
        <v>1</v>
      </c>
      <c r="I78">
        <v>1</v>
      </c>
      <c r="K78">
        <v>1</v>
      </c>
      <c r="L78">
        <v>1</v>
      </c>
      <c r="N78">
        <v>1</v>
      </c>
      <c r="Z78" s="40"/>
      <c r="AA78" s="40"/>
    </row>
    <row r="79" spans="1:27" x14ac:dyDescent="0.25">
      <c r="A79" t="s">
        <v>150</v>
      </c>
      <c r="B79" s="21" t="s">
        <v>149</v>
      </c>
      <c r="C79" s="30">
        <f t="shared" si="2"/>
        <v>4</v>
      </c>
      <c r="H79">
        <v>1</v>
      </c>
      <c r="I79">
        <v>1</v>
      </c>
      <c r="J79">
        <v>1</v>
      </c>
      <c r="K79">
        <v>1</v>
      </c>
      <c r="L79">
        <v>1</v>
      </c>
      <c r="N79">
        <v>1</v>
      </c>
      <c r="Z79" s="40"/>
      <c r="AA79" s="40"/>
    </row>
    <row r="80" spans="1:27" s="16" customFormat="1" x14ac:dyDescent="0.25">
      <c r="A80" s="16" t="s">
        <v>57</v>
      </c>
      <c r="B80" s="15" t="s">
        <v>80</v>
      </c>
      <c r="C80" s="31">
        <f t="shared" si="2"/>
        <v>2</v>
      </c>
      <c r="J80" s="16">
        <v>2</v>
      </c>
      <c r="Z80" s="41"/>
    </row>
    <row r="81" spans="1:27" x14ac:dyDescent="0.25">
      <c r="A81" s="6" t="s">
        <v>4</v>
      </c>
      <c r="C81" s="30"/>
      <c r="Z81" s="40"/>
      <c r="AA81" s="40"/>
    </row>
    <row r="82" spans="1:27" x14ac:dyDescent="0.25">
      <c r="A82" t="s">
        <v>65</v>
      </c>
      <c r="B82" s="1" t="s">
        <v>5</v>
      </c>
      <c r="C82" s="30">
        <f>SUMPRODUCT(D82:Y82,D$2:Y$2)</f>
        <v>5</v>
      </c>
      <c r="S82">
        <v>1</v>
      </c>
      <c r="Z82" s="40"/>
      <c r="AA82" s="40"/>
    </row>
    <row r="83" spans="1:27" s="16" customFormat="1" x14ac:dyDescent="0.25">
      <c r="A83" s="16" t="s">
        <v>133</v>
      </c>
      <c r="B83" s="15" t="s">
        <v>5</v>
      </c>
      <c r="C83" s="31">
        <f>SUMPRODUCT(D83:Y83,D$2:Y$2)</f>
        <v>0</v>
      </c>
      <c r="W83" s="16">
        <v>2</v>
      </c>
      <c r="X83" s="16">
        <v>2</v>
      </c>
      <c r="Z83" s="41"/>
    </row>
    <row r="84" spans="1:27" x14ac:dyDescent="0.25">
      <c r="A84" s="6" t="s">
        <v>20</v>
      </c>
      <c r="C84" s="30"/>
      <c r="Z84" s="40"/>
      <c r="AA84" s="40"/>
    </row>
    <row r="85" spans="1:27" x14ac:dyDescent="0.25">
      <c r="A85" t="s">
        <v>22</v>
      </c>
      <c r="B85" s="1" t="s">
        <v>49</v>
      </c>
      <c r="C85" s="30">
        <f>SUMPRODUCT(D85:Y85,D$2:Y$2)</f>
        <v>2</v>
      </c>
      <c r="F85">
        <v>1</v>
      </c>
      <c r="G85">
        <v>1</v>
      </c>
      <c r="Z85" s="40"/>
      <c r="AA85" s="40"/>
    </row>
    <row r="86" spans="1:27" x14ac:dyDescent="0.25">
      <c r="A86" t="s">
        <v>27</v>
      </c>
      <c r="B86" s="1" t="s">
        <v>48</v>
      </c>
      <c r="C86" s="30">
        <f>SUMPRODUCT(D86:Y86,D$2:Y$2)</f>
        <v>6</v>
      </c>
      <c r="M86">
        <v>1</v>
      </c>
      <c r="N86">
        <v>1</v>
      </c>
      <c r="O86">
        <v>1</v>
      </c>
      <c r="Z86" s="40"/>
      <c r="AA86" s="40"/>
    </row>
    <row r="87" spans="1:27" x14ac:dyDescent="0.25">
      <c r="A87" t="s">
        <v>37</v>
      </c>
      <c r="B87" s="1" t="s">
        <v>21</v>
      </c>
      <c r="C87" s="30">
        <f>SUMPRODUCT(D87:Y87,D$2:Y$2)</f>
        <v>1</v>
      </c>
      <c r="P87">
        <v>1</v>
      </c>
      <c r="Z87" s="40"/>
      <c r="AA87" s="40"/>
    </row>
    <row r="88" spans="1:27" x14ac:dyDescent="0.25">
      <c r="A88" t="s">
        <v>38</v>
      </c>
      <c r="B88" s="1" t="s">
        <v>3</v>
      </c>
      <c r="C88" s="30">
        <f>SUMPRODUCT(D88:Y88,D$2:Y$2)</f>
        <v>1</v>
      </c>
      <c r="Q88">
        <v>1</v>
      </c>
      <c r="Z88" s="40"/>
      <c r="AA88" s="40"/>
    </row>
    <row r="89" spans="1:27" s="16" customFormat="1" x14ac:dyDescent="0.25">
      <c r="A89" s="16" t="s">
        <v>39</v>
      </c>
      <c r="B89" s="15" t="s">
        <v>47</v>
      </c>
      <c r="C89" s="31">
        <f>SUMPRODUCT(D89:Y89,D$2:Y$2)</f>
        <v>1</v>
      </c>
      <c r="R89" s="16">
        <v>1</v>
      </c>
      <c r="Z89" s="41"/>
    </row>
    <row r="90" spans="1:27" x14ac:dyDescent="0.25">
      <c r="A90" s="6" t="s">
        <v>13</v>
      </c>
      <c r="C90" s="30"/>
      <c r="Z90" s="40"/>
      <c r="AA90" s="40"/>
    </row>
    <row r="91" spans="1:27" x14ac:dyDescent="0.25">
      <c r="A91" t="s">
        <v>14</v>
      </c>
      <c r="B91" s="1" t="s">
        <v>81</v>
      </c>
      <c r="C91" s="30">
        <f>SUMPRODUCT(D91:Y91,D$2:Y$2)</f>
        <v>0</v>
      </c>
      <c r="Z91" s="40"/>
      <c r="AA91" s="40"/>
    </row>
    <row r="92" spans="1:27" s="16" customFormat="1" x14ac:dyDescent="0.25">
      <c r="A92" s="16" t="s">
        <v>85</v>
      </c>
      <c r="B92" s="15" t="s">
        <v>84</v>
      </c>
      <c r="C92" s="31">
        <f>SUMPRODUCT(D92:Y92,D$2:Y$2)</f>
        <v>129</v>
      </c>
      <c r="D92" s="16">
        <v>96</v>
      </c>
      <c r="E92" s="16">
        <v>96</v>
      </c>
      <c r="H92" s="16">
        <v>4</v>
      </c>
      <c r="I92" s="16">
        <v>4</v>
      </c>
      <c r="L92" s="16">
        <v>4</v>
      </c>
      <c r="M92" s="16">
        <v>4</v>
      </c>
      <c r="N92" s="16">
        <v>4</v>
      </c>
      <c r="O92" s="16">
        <v>4</v>
      </c>
      <c r="T92" s="16">
        <v>1</v>
      </c>
      <c r="Z92" s="41"/>
    </row>
    <row r="93" spans="1:27" x14ac:dyDescent="0.25">
      <c r="A93" s="6" t="s">
        <v>16</v>
      </c>
      <c r="C93" s="30"/>
      <c r="Z93" s="40"/>
      <c r="AA93" s="40"/>
    </row>
    <row r="94" spans="1:27" x14ac:dyDescent="0.25">
      <c r="A94" t="s">
        <v>17</v>
      </c>
      <c r="B94" s="1" t="s">
        <v>160</v>
      </c>
      <c r="C94" s="30">
        <f>SUMPRODUCT(D94:Y94,D$2:Y$2)</f>
        <v>94</v>
      </c>
      <c r="F94">
        <v>6</v>
      </c>
      <c r="G94">
        <v>6</v>
      </c>
      <c r="H94">
        <v>6</v>
      </c>
      <c r="I94">
        <v>6</v>
      </c>
      <c r="J94">
        <v>4</v>
      </c>
      <c r="K94">
        <v>4</v>
      </c>
      <c r="L94">
        <v>5</v>
      </c>
      <c r="M94">
        <v>5</v>
      </c>
      <c r="N94">
        <v>5</v>
      </c>
      <c r="O94">
        <v>5</v>
      </c>
      <c r="P94">
        <v>4</v>
      </c>
      <c r="Q94">
        <v>4</v>
      </c>
      <c r="R94">
        <v>4</v>
      </c>
      <c r="S94">
        <v>4</v>
      </c>
      <c r="T94">
        <v>4</v>
      </c>
      <c r="W94">
        <v>6</v>
      </c>
      <c r="X94">
        <v>8</v>
      </c>
      <c r="Z94" s="40"/>
      <c r="AA94" s="40"/>
    </row>
    <row r="95" spans="1:27" x14ac:dyDescent="0.25">
      <c r="A95" t="s">
        <v>23</v>
      </c>
      <c r="B95" s="1" t="s">
        <v>159</v>
      </c>
      <c r="C95" s="30">
        <f>SUMPRODUCT(D95:Y95,D$2:Y$2)</f>
        <v>17</v>
      </c>
      <c r="T95">
        <v>5</v>
      </c>
      <c r="U95">
        <v>4</v>
      </c>
      <c r="V95">
        <v>4</v>
      </c>
      <c r="X95">
        <v>4</v>
      </c>
      <c r="Z95" s="40"/>
      <c r="AA95" s="40"/>
    </row>
    <row r="96" spans="1:27" x14ac:dyDescent="0.25">
      <c r="A96" t="s">
        <v>24</v>
      </c>
      <c r="B96" s="1" t="s">
        <v>161</v>
      </c>
      <c r="C96" s="30">
        <f>SUMPRODUCT(D96:Y96,D$2:Y$2)</f>
        <v>16</v>
      </c>
      <c r="H96">
        <v>2</v>
      </c>
      <c r="I96">
        <v>2</v>
      </c>
      <c r="L96">
        <v>2</v>
      </c>
      <c r="M96">
        <v>2</v>
      </c>
      <c r="N96">
        <v>2</v>
      </c>
      <c r="O96">
        <v>2</v>
      </c>
      <c r="Z96" s="40"/>
      <c r="AA96" s="40"/>
    </row>
    <row r="97" spans="1:28" s="16" customFormat="1" x14ac:dyDescent="0.25">
      <c r="A97" s="16" t="s">
        <v>33</v>
      </c>
      <c r="B97" s="15" t="s">
        <v>162</v>
      </c>
      <c r="C97" s="31">
        <f>SUMPRODUCT(D97:Y97,D$2:Y$2)</f>
        <v>16</v>
      </c>
      <c r="H97" s="16">
        <v>2</v>
      </c>
      <c r="I97" s="16">
        <v>2</v>
      </c>
      <c r="L97" s="16">
        <v>2</v>
      </c>
      <c r="M97" s="16">
        <v>2</v>
      </c>
      <c r="N97" s="16">
        <v>2</v>
      </c>
      <c r="O97" s="16">
        <v>2</v>
      </c>
    </row>
    <row r="98" spans="1:28" x14ac:dyDescent="0.25">
      <c r="A98" s="6" t="s">
        <v>66</v>
      </c>
      <c r="B98" s="6"/>
      <c r="C98" s="30"/>
      <c r="Z98" s="40"/>
      <c r="AA98" s="40"/>
    </row>
    <row r="99" spans="1:28" s="17" customFormat="1" ht="15.75" thickBot="1" x14ac:dyDescent="0.3">
      <c r="A99" s="17" t="s">
        <v>67</v>
      </c>
      <c r="B99" s="17" t="s">
        <v>141</v>
      </c>
      <c r="C99" s="32">
        <f>SUMPRODUCT(D99:Y99,D$2:Y$2)</f>
        <v>5</v>
      </c>
      <c r="S99" s="17">
        <v>1</v>
      </c>
      <c r="Z99" s="42"/>
    </row>
    <row r="100" spans="1:28" ht="15.75" thickTop="1" x14ac:dyDescent="0.25">
      <c r="C100" s="30"/>
      <c r="Z100" s="43"/>
      <c r="AA100" s="40"/>
    </row>
    <row r="101" spans="1:28" x14ac:dyDescent="0.25">
      <c r="A101" s="6" t="s">
        <v>54</v>
      </c>
      <c r="C101" s="30"/>
      <c r="AB101" s="40"/>
    </row>
    <row r="102" spans="1:28" x14ac:dyDescent="0.25">
      <c r="A102" t="s">
        <v>55</v>
      </c>
      <c r="C102" s="45">
        <f>(Wunschliste!B3)</f>
        <v>1</v>
      </c>
      <c r="D102">
        <v>1</v>
      </c>
      <c r="F102">
        <v>1</v>
      </c>
      <c r="H102">
        <v>1</v>
      </c>
      <c r="J102">
        <v>1</v>
      </c>
      <c r="M102">
        <v>2</v>
      </c>
      <c r="P102">
        <v>1</v>
      </c>
      <c r="U102">
        <v>1</v>
      </c>
    </row>
    <row r="103" spans="1:28" x14ac:dyDescent="0.25">
      <c r="A103" t="s">
        <v>56</v>
      </c>
      <c r="C103" s="45">
        <f>(Wunschliste!B4)</f>
        <v>1</v>
      </c>
      <c r="D103">
        <v>1</v>
      </c>
      <c r="F103">
        <v>1</v>
      </c>
      <c r="H103">
        <v>1</v>
      </c>
      <c r="J103">
        <v>1</v>
      </c>
      <c r="M103">
        <v>1</v>
      </c>
      <c r="N103">
        <v>1</v>
      </c>
      <c r="P103">
        <v>1</v>
      </c>
      <c r="U103">
        <v>1</v>
      </c>
    </row>
    <row r="104" spans="1:28" x14ac:dyDescent="0.25">
      <c r="A104" t="s">
        <v>59</v>
      </c>
      <c r="C104" s="45">
        <f>(Wunschliste!B5)</f>
        <v>1</v>
      </c>
      <c r="D104">
        <v>1</v>
      </c>
      <c r="F104">
        <v>2</v>
      </c>
      <c r="H104">
        <v>1</v>
      </c>
      <c r="J104">
        <v>1</v>
      </c>
      <c r="O104">
        <v>3</v>
      </c>
      <c r="P104">
        <v>1</v>
      </c>
      <c r="Q104">
        <v>1</v>
      </c>
      <c r="S104">
        <v>0</v>
      </c>
      <c r="U104">
        <v>2</v>
      </c>
      <c r="V104">
        <v>1</v>
      </c>
    </row>
    <row r="105" spans="1:28" x14ac:dyDescent="0.25">
      <c r="A105" t="s">
        <v>152</v>
      </c>
      <c r="C105" s="45">
        <f>(Wunschliste!B6)</f>
        <v>1</v>
      </c>
      <c r="D105">
        <v>1</v>
      </c>
      <c r="F105">
        <v>2</v>
      </c>
      <c r="H105">
        <v>1</v>
      </c>
      <c r="J105">
        <v>1</v>
      </c>
      <c r="O105">
        <v>3</v>
      </c>
      <c r="P105">
        <v>1</v>
      </c>
      <c r="Q105">
        <v>1</v>
      </c>
      <c r="S105">
        <v>5</v>
      </c>
      <c r="U105">
        <v>2</v>
      </c>
      <c r="V105">
        <v>1</v>
      </c>
    </row>
    <row r="106" spans="1:28" x14ac:dyDescent="0.25">
      <c r="A106" t="s">
        <v>61</v>
      </c>
      <c r="C106" s="45">
        <f>(Wunschliste!B7)</f>
        <v>1</v>
      </c>
      <c r="D106">
        <v>1</v>
      </c>
      <c r="H106">
        <v>1</v>
      </c>
      <c r="J106">
        <v>1</v>
      </c>
      <c r="T106">
        <v>1</v>
      </c>
      <c r="U106">
        <v>1</v>
      </c>
      <c r="V106">
        <v>1</v>
      </c>
    </row>
    <row r="107" spans="1:28" x14ac:dyDescent="0.25">
      <c r="A107" t="s">
        <v>60</v>
      </c>
      <c r="C107" s="45">
        <f>(Wunschliste!B8)</f>
        <v>1</v>
      </c>
      <c r="D107">
        <v>1</v>
      </c>
      <c r="F107">
        <v>1</v>
      </c>
      <c r="H107">
        <v>1</v>
      </c>
      <c r="I107">
        <v>1</v>
      </c>
      <c r="J107">
        <v>1</v>
      </c>
      <c r="O107">
        <v>1</v>
      </c>
      <c r="R107">
        <v>1</v>
      </c>
      <c r="S107">
        <v>3</v>
      </c>
      <c r="U107">
        <v>2</v>
      </c>
      <c r="V107">
        <v>1</v>
      </c>
    </row>
    <row r="108" spans="1:28" x14ac:dyDescent="0.25">
      <c r="A108" t="s">
        <v>108</v>
      </c>
      <c r="C108" s="45">
        <f>(Wunschliste!B9)</f>
        <v>0</v>
      </c>
      <c r="D108">
        <v>1</v>
      </c>
      <c r="F108">
        <v>1</v>
      </c>
      <c r="I108">
        <v>1</v>
      </c>
      <c r="J108">
        <v>1</v>
      </c>
      <c r="K108">
        <v>1</v>
      </c>
      <c r="O108">
        <v>1</v>
      </c>
      <c r="R108">
        <v>1</v>
      </c>
      <c r="U108">
        <v>2</v>
      </c>
      <c r="W108">
        <v>1</v>
      </c>
      <c r="X108">
        <v>1</v>
      </c>
      <c r="Y108">
        <v>1</v>
      </c>
    </row>
    <row r="109" spans="1:28" x14ac:dyDescent="0.25">
      <c r="C109" s="45"/>
    </row>
    <row r="110" spans="1:28" x14ac:dyDescent="0.25">
      <c r="A110" t="s">
        <v>144</v>
      </c>
      <c r="C110" s="45">
        <f>Wunschliste!B12</f>
        <v>0</v>
      </c>
      <c r="D110" s="44">
        <v>1</v>
      </c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spans="1:28" x14ac:dyDescent="0.25">
      <c r="A111" t="s">
        <v>12</v>
      </c>
      <c r="C111" s="45">
        <f>Wunschliste!B13</f>
        <v>0</v>
      </c>
      <c r="D111" s="44"/>
      <c r="E111" s="44">
        <v>1</v>
      </c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spans="1:28" x14ac:dyDescent="0.25">
      <c r="A112" t="s">
        <v>15</v>
      </c>
      <c r="C112" s="45">
        <f>Wunschliste!B14</f>
        <v>0</v>
      </c>
      <c r="D112" s="44"/>
      <c r="E112" s="44"/>
      <c r="F112" s="44">
        <v>1</v>
      </c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spans="1:24" x14ac:dyDescent="0.25">
      <c r="A113" t="s">
        <v>165</v>
      </c>
      <c r="C113" s="45">
        <f>Wunschliste!B15</f>
        <v>0</v>
      </c>
      <c r="D113" s="44"/>
      <c r="E113" s="44"/>
      <c r="F113" s="44"/>
      <c r="G113" s="44">
        <v>1</v>
      </c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spans="1:24" x14ac:dyDescent="0.25">
      <c r="A114" t="s">
        <v>32</v>
      </c>
      <c r="C114" s="45">
        <f>Wunschliste!B16</f>
        <v>0</v>
      </c>
      <c r="D114" s="44"/>
      <c r="E114" s="44"/>
      <c r="F114" s="44"/>
      <c r="G114" s="44"/>
      <c r="H114" s="44">
        <v>1</v>
      </c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spans="1:24" x14ac:dyDescent="0.25">
      <c r="A115" t="s">
        <v>19</v>
      </c>
      <c r="C115" s="45">
        <f>Wunschliste!B17</f>
        <v>0</v>
      </c>
      <c r="D115" s="44"/>
      <c r="E115" s="44"/>
      <c r="F115" s="44"/>
      <c r="G115" s="44"/>
      <c r="H115" s="44"/>
      <c r="I115" s="44">
        <v>1</v>
      </c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spans="1:24" x14ac:dyDescent="0.25">
      <c r="A116" t="s">
        <v>18</v>
      </c>
      <c r="C116" s="45">
        <f>Wunschliste!B18</f>
        <v>0</v>
      </c>
      <c r="D116" s="44"/>
      <c r="E116" s="44"/>
      <c r="F116" s="44"/>
      <c r="G116" s="44"/>
      <c r="H116" s="44"/>
      <c r="I116" s="44"/>
      <c r="J116" s="44">
        <v>1</v>
      </c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spans="1:24" x14ac:dyDescent="0.25">
      <c r="A117" t="s">
        <v>123</v>
      </c>
      <c r="C117" s="45">
        <f>Wunschliste!B19</f>
        <v>0</v>
      </c>
      <c r="D117" s="44"/>
      <c r="E117" s="44"/>
      <c r="F117" s="44"/>
      <c r="G117" s="44"/>
      <c r="H117" s="44"/>
      <c r="I117" s="44"/>
      <c r="J117" s="44"/>
      <c r="K117" s="44">
        <v>1</v>
      </c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spans="1:24" x14ac:dyDescent="0.25">
      <c r="A118" t="s">
        <v>6</v>
      </c>
      <c r="C118" s="45">
        <f>Wunschliste!B20</f>
        <v>0</v>
      </c>
      <c r="D118" s="44"/>
      <c r="E118" s="44"/>
      <c r="F118" s="44"/>
      <c r="G118" s="44"/>
      <c r="H118" s="44"/>
      <c r="I118" s="44"/>
      <c r="J118" s="44"/>
      <c r="K118" s="44"/>
      <c r="L118" s="44">
        <v>1</v>
      </c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spans="1:24" x14ac:dyDescent="0.25">
      <c r="A119" t="s">
        <v>25</v>
      </c>
      <c r="C119" s="45">
        <f>Wunschliste!B21</f>
        <v>0</v>
      </c>
      <c r="D119" s="44"/>
      <c r="E119" s="44"/>
      <c r="F119" s="44"/>
      <c r="G119" s="44"/>
      <c r="H119" s="44"/>
      <c r="I119" s="44"/>
      <c r="J119" s="44"/>
      <c r="K119" s="44"/>
      <c r="L119" s="44"/>
      <c r="M119" s="44">
        <v>1</v>
      </c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spans="1:24" x14ac:dyDescent="0.25">
      <c r="A120" t="s">
        <v>45</v>
      </c>
      <c r="C120" s="45">
        <f>Wunschliste!B22</f>
        <v>0</v>
      </c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>
        <v>1</v>
      </c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spans="1:24" x14ac:dyDescent="0.25">
      <c r="A121" t="s">
        <v>26</v>
      </c>
      <c r="C121" s="45">
        <f>Wunschliste!B23</f>
        <v>0</v>
      </c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>
        <v>1</v>
      </c>
      <c r="P121" s="44"/>
      <c r="Q121" s="44"/>
      <c r="R121" s="44"/>
      <c r="S121" s="44"/>
      <c r="T121" s="44"/>
      <c r="U121" s="44"/>
      <c r="V121" s="44"/>
      <c r="W121" s="44"/>
      <c r="X121" s="44"/>
    </row>
    <row r="122" spans="1:24" x14ac:dyDescent="0.25">
      <c r="A122" t="s">
        <v>28</v>
      </c>
      <c r="C122" s="45">
        <f>Wunschliste!B24</f>
        <v>0</v>
      </c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>
        <v>1</v>
      </c>
      <c r="Q122" s="44"/>
      <c r="R122" s="44"/>
      <c r="S122" s="44"/>
      <c r="T122" s="44"/>
      <c r="U122" s="44"/>
      <c r="V122" s="44"/>
      <c r="W122" s="44"/>
      <c r="X122" s="44"/>
    </row>
    <row r="123" spans="1:24" x14ac:dyDescent="0.25">
      <c r="A123" t="s">
        <v>29</v>
      </c>
      <c r="C123" s="45">
        <f>Wunschliste!B25</f>
        <v>0</v>
      </c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>
        <v>1</v>
      </c>
      <c r="R123" s="44"/>
      <c r="S123" s="44"/>
      <c r="T123" s="44"/>
      <c r="U123" s="44"/>
      <c r="V123" s="44"/>
      <c r="W123" s="44"/>
      <c r="X123" s="44"/>
    </row>
    <row r="124" spans="1:24" x14ac:dyDescent="0.25">
      <c r="A124" t="s">
        <v>30</v>
      </c>
      <c r="C124" s="45">
        <f>Wunschliste!B26</f>
        <v>0</v>
      </c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>
        <v>1</v>
      </c>
      <c r="S124" s="44"/>
      <c r="T124" s="44"/>
      <c r="U124" s="44"/>
      <c r="V124" s="44"/>
      <c r="W124" s="44"/>
      <c r="X124" s="44"/>
    </row>
    <row r="125" spans="1:24" x14ac:dyDescent="0.25">
      <c r="A125" t="s">
        <v>43</v>
      </c>
      <c r="C125" s="45">
        <f>Wunschliste!B27</f>
        <v>0</v>
      </c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>
        <v>1</v>
      </c>
      <c r="T125" s="44"/>
      <c r="U125" s="44"/>
      <c r="V125" s="44"/>
      <c r="W125" s="44"/>
      <c r="X125" s="44"/>
    </row>
    <row r="126" spans="1:24" x14ac:dyDescent="0.25">
      <c r="A126" t="s">
        <v>44</v>
      </c>
      <c r="C126" s="45">
        <f>Wunschliste!B28</f>
        <v>0</v>
      </c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>
        <v>1</v>
      </c>
      <c r="U126" s="44"/>
      <c r="V126" s="44"/>
      <c r="W126" s="44"/>
      <c r="X126" s="44"/>
    </row>
    <row r="127" spans="1:24" x14ac:dyDescent="0.25">
      <c r="A127" t="s">
        <v>31</v>
      </c>
      <c r="C127" s="45">
        <f>Wunschliste!B29</f>
        <v>0</v>
      </c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>
        <v>1</v>
      </c>
      <c r="V127" s="44"/>
      <c r="W127" s="44"/>
      <c r="X127" s="44"/>
    </row>
    <row r="128" spans="1:24" x14ac:dyDescent="0.25">
      <c r="A128" t="s">
        <v>42</v>
      </c>
      <c r="C128" s="45">
        <f>Wunschliste!B30</f>
        <v>0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>
        <v>1</v>
      </c>
      <c r="W128" s="44"/>
      <c r="X128" s="44"/>
    </row>
    <row r="129" spans="1:27" x14ac:dyDescent="0.25">
      <c r="A129" t="s">
        <v>121</v>
      </c>
      <c r="C129" s="45">
        <f>Wunschliste!B31</f>
        <v>0</v>
      </c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>
        <v>1</v>
      </c>
      <c r="X129" s="44"/>
    </row>
    <row r="130" spans="1:27" x14ac:dyDescent="0.25">
      <c r="A130" t="s">
        <v>122</v>
      </c>
      <c r="C130" s="45">
        <f>Wunschliste!B32</f>
        <v>0</v>
      </c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>
        <v>1</v>
      </c>
    </row>
    <row r="131" spans="1:27" x14ac:dyDescent="0.25">
      <c r="A131" t="s">
        <v>148</v>
      </c>
      <c r="C131" s="45">
        <f>Wunschliste!B33</f>
        <v>0</v>
      </c>
      <c r="Y131">
        <v>1</v>
      </c>
    </row>
    <row r="133" spans="1:27" x14ac:dyDescent="0.25">
      <c r="AA133" s="40"/>
    </row>
  </sheetData>
  <hyperlinks>
    <hyperlink ref="B59" r:id="rId1" xr:uid="{1F3D3FE9-03DF-4504-99B4-037A0D4B2542}"/>
    <hyperlink ref="B60" r:id="rId2" display="https://www.reichelt.de/punkt-lasermodul-rot-650-nm-5-vdc-7x14-mm-klasse-2-pico-70107388-p254568.html?&amp;trstct=pos_1&amp;nbc=1" xr:uid="{9D399B45-AB64-42E9-985E-7A62A3C4E6FC}"/>
    <hyperlink ref="B61" r:id="rId3" xr:uid="{D3083EDB-B099-46AA-BD17-187128FA9BFD}"/>
    <hyperlink ref="B62" r:id="rId4" xr:uid="{85B5EA62-6E7B-4942-8CB3-12E6192CF1E6}"/>
    <hyperlink ref="B63" r:id="rId5" xr:uid="{49F1CB1E-2F55-4682-9BFB-F8395D39BAB4}"/>
    <hyperlink ref="B64" r:id="rId6" xr:uid="{160EC997-92EF-4012-8D5C-1B083D47ACBE}"/>
    <hyperlink ref="B66" r:id="rId7" xr:uid="{DE16DAA4-1958-4FBD-92FA-E29EEF929620}"/>
    <hyperlink ref="B67" r:id="rId8" xr:uid="{960114C3-876F-46DB-B131-F10BCB08CB3E}"/>
    <hyperlink ref="B68" r:id="rId9" xr:uid="{2C1784E4-3D28-41DD-BD07-08983186DA34}"/>
    <hyperlink ref="B69" r:id="rId10" xr:uid="{1EED3BAC-B917-4F45-8794-25F0289C9536}"/>
    <hyperlink ref="B71" r:id="rId11" xr:uid="{A8D6D86F-3A63-40B9-9764-5D21D3035677}"/>
    <hyperlink ref="B73" r:id="rId12" xr:uid="{E0A39349-2F7E-40B2-9D5D-302D4D76B6CA}"/>
    <hyperlink ref="B74" r:id="rId13" xr:uid="{4E9DC337-4F07-49CF-9EFC-4FF43A58B78C}"/>
    <hyperlink ref="B77" r:id="rId14" xr:uid="{731334F0-A222-41FC-B033-DA44B9568577}"/>
    <hyperlink ref="B80" r:id="rId15" xr:uid="{1C985F0D-098F-47CC-8A3B-998BB4BA1E13}"/>
    <hyperlink ref="B86" r:id="rId16" xr:uid="{BA6F7107-BFAF-4A81-A0FD-8BF35C7D3556}"/>
    <hyperlink ref="B85" r:id="rId17" xr:uid="{4A6464C7-754A-4526-92E2-84225A93AF0D}"/>
    <hyperlink ref="B88" r:id="rId18" xr:uid="{F025DCFA-DE86-46D9-BCF1-E060BBDD30E8}"/>
    <hyperlink ref="B87" r:id="rId19" xr:uid="{59B9AD01-C99B-44B6-9E3E-11AD185F57BB}"/>
    <hyperlink ref="B89" r:id="rId20" xr:uid="{187DC012-C6ED-4D13-A66B-DDF4111A5C5F}"/>
    <hyperlink ref="B91" r:id="rId21" xr:uid="{2C592C24-68D8-4228-B3EF-C66CF96B05A0}"/>
    <hyperlink ref="B92" r:id="rId22" xr:uid="{EC8BFD57-9B66-4274-8D7E-D2DDDE11D8DB}"/>
    <hyperlink ref="B82" r:id="rId23" xr:uid="{45CA4D7C-8894-4475-BCE6-E1CA5C0C6A32}"/>
    <hyperlink ref="B75" r:id="rId24" xr:uid="{BCCBDA2F-D317-4627-80CA-9A184F1F8763}"/>
    <hyperlink ref="B76" r:id="rId25" xr:uid="{69B31C77-1241-4D97-B40D-94B2CE1342E8}"/>
    <hyperlink ref="B3" r:id="rId26" xr:uid="{146A3454-5FEA-40A7-894F-093F2DD805F0}"/>
    <hyperlink ref="B65" r:id="rId27" xr:uid="{17100DC6-3788-4C9F-B393-E1ECA2E39F16}"/>
    <hyperlink ref="B83" r:id="rId28" xr:uid="{5AD13A70-5EA7-4082-B49F-394665729214}"/>
    <hyperlink ref="B70" r:id="rId29" xr:uid="{ACCBABFC-F9DF-4485-B3E6-BF98C516FCC7}"/>
    <hyperlink ref="B4:B56" r:id="rId30" display="https://o3q.de/anleitungen-dateien/" xr:uid="{10860FAA-0207-456A-9AE7-46125B877383}"/>
    <hyperlink ref="B95" r:id="rId31" xr:uid="{CE9FEA0D-F5D7-43CB-8B9C-4577BCE964BA}"/>
    <hyperlink ref="B94" r:id="rId32" xr:uid="{7B5371E9-8726-4E8D-8C4E-3834EE51FE95}"/>
    <hyperlink ref="B96" r:id="rId33" xr:uid="{617A8E20-A281-429F-8DAD-BE8F7FA56D83}"/>
    <hyperlink ref="B97" r:id="rId34" xr:uid="{FA237E98-27B4-4A24-8C39-B6D66E384D4B}"/>
    <hyperlink ref="B78" r:id="rId35" xr:uid="{C00E8352-79F8-40AC-92FE-72B3A0510D74}"/>
  </hyperlinks>
  <pageMargins left="0.7" right="0.7" top="0.78740157499999996" bottom="0.78740157499999996" header="0.3" footer="0.3"/>
  <pageSetup paperSize="9" orientation="portrait" horizontalDpi="4294967293" verticalDpi="4294967293" r:id="rId3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807953BDE2524E8E6BE306E2569B44" ma:contentTypeVersion="5" ma:contentTypeDescription="Ein neues Dokument erstellen." ma:contentTypeScope="" ma:versionID="df36f8472d1df99abef6db7d79afa0c2">
  <xsd:schema xmlns:xsd="http://www.w3.org/2001/XMLSchema" xmlns:xs="http://www.w3.org/2001/XMLSchema" xmlns:p="http://schemas.microsoft.com/office/2006/metadata/properties" xmlns:ns3="c603b590-e9af-4698-a5b1-d4a3b6f0659b" xmlns:ns4="11799508-d63c-4eef-884f-ba43685aa687" targetNamespace="http://schemas.microsoft.com/office/2006/metadata/properties" ma:root="true" ma:fieldsID="fd59db5fe0391d2c213d0836cc31a72f" ns3:_="" ns4:_="">
    <xsd:import namespace="c603b590-e9af-4698-a5b1-d4a3b6f0659b"/>
    <xsd:import namespace="11799508-d63c-4eef-884f-ba43685aa6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3b590-e9af-4698-a5b1-d4a3b6f0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99508-d63c-4eef-884f-ba43685aa68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8071AC-2496-44D7-8F43-51F5E419B1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2D976C-4A22-4930-B7E9-8FFEF9D194A2}">
  <ds:schemaRefs>
    <ds:schemaRef ds:uri="http://purl.org/dc/terms/"/>
    <ds:schemaRef ds:uri="http://purl.org/dc/elements/1.1/"/>
    <ds:schemaRef ds:uri="http://purl.org/dc/dcmitype/"/>
    <ds:schemaRef ds:uri="c603b590-e9af-4698-a5b1-d4a3b6f0659b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1799508-d63c-4eef-884f-ba43685aa68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F40B2C-F6B2-4CB4-844F-54C81E14A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03b590-e9af-4698-a5b1-d4a3b6f0659b"/>
    <ds:schemaRef ds:uri="11799508-d63c-4eef-884f-ba43685aa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Wunschliste</vt:lpstr>
      <vt:lpstr>Bauteile nach Würfeln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Haverkamp</dc:creator>
  <cp:lastModifiedBy>Nils Haverkamp</cp:lastModifiedBy>
  <dcterms:created xsi:type="dcterms:W3CDTF">2022-08-03T09:18:34Z</dcterms:created>
  <dcterms:modified xsi:type="dcterms:W3CDTF">2024-08-14T12:21:47Z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0x01010076807953BDE2524E8E6BE306E2569B44</vt:lpwstr>
  </property>
</Properties>
</file>