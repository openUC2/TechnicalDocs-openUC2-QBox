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lsh\Arbeit\Quantum Aktiv\ODMR\"/>
    </mc:Choice>
  </mc:AlternateContent>
  <xr:revisionPtr revIDLastSave="0" documentId="13_ncr:1_{9995D5C4-2BF5-4AFB-AA4D-4CD86664E21D}" xr6:coauthVersionLast="47" xr6:coauthVersionMax="47" xr10:uidLastSave="{00000000-0000-0000-0000-000000000000}"/>
  <bookViews>
    <workbookView xWindow="-120" yWindow="-120" windowWidth="29040" windowHeight="15720" xr2:uid="{4E90A778-0F15-49A6-9E66-504A9AC0C382}"/>
  </bookViews>
  <sheets>
    <sheet name="Wunschliste" sheetId="4" r:id="rId1"/>
    <sheet name="Bauteile nach Würfel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80" i="3" l="1"/>
  <c r="G2" i="3" s="1" a="1"/>
  <c r="G2" i="3" s="1"/>
  <c r="N2" i="3" l="1" a="1"/>
  <c r="N2" i="3" s="1"/>
  <c r="M2" i="3" a="1"/>
  <c r="M2" i="3" s="1"/>
  <c r="K2" i="3" a="1"/>
  <c r="K2" i="3" s="1"/>
  <c r="I2" i="3" a="1"/>
  <c r="I2" i="3" s="1"/>
  <c r="L2" i="3" a="1"/>
  <c r="L2" i="3" s="1"/>
  <c r="E2" i="3" a="1"/>
  <c r="E2" i="3" s="1"/>
  <c r="P2" i="3" a="1"/>
  <c r="P2" i="3" s="1"/>
  <c r="O2" i="3" a="1"/>
  <c r="O2" i="3" s="1"/>
  <c r="H2" i="3" a="1"/>
  <c r="H2" i="3" s="1"/>
  <c r="J2" i="3" a="1"/>
  <c r="J2" i="3" s="1"/>
  <c r="D2" i="3" a="1"/>
  <c r="D2" i="3" s="1"/>
  <c r="F2" i="3" a="1"/>
  <c r="F2" i="3" s="1"/>
  <c r="C48" i="3" l="1"/>
  <c r="C43" i="3"/>
  <c r="C52" i="3"/>
  <c r="C37" i="3"/>
  <c r="C36" i="3"/>
  <c r="C35" i="3"/>
  <c r="C24" i="3"/>
  <c r="C47" i="3"/>
  <c r="C49" i="3"/>
  <c r="C50" i="3"/>
  <c r="C51" i="3"/>
  <c r="C55" i="3"/>
  <c r="C53" i="3"/>
  <c r="C54" i="3"/>
  <c r="C62" i="3"/>
  <c r="C42" i="3"/>
  <c r="C38" i="3"/>
  <c r="C34" i="3"/>
  <c r="C41" i="3"/>
  <c r="C32" i="3"/>
  <c r="C46" i="3"/>
  <c r="C21" i="3"/>
  <c r="C22" i="3"/>
  <c r="C23" i="3"/>
  <c r="C27" i="3"/>
  <c r="C19" i="3"/>
  <c r="C20" i="3"/>
  <c r="C77" i="3"/>
  <c r="C2" i="3"/>
  <c r="C8" i="3"/>
  <c r="C61" i="3"/>
  <c r="C58" i="3"/>
  <c r="C12" i="3"/>
  <c r="C28" i="3"/>
  <c r="C11" i="3"/>
  <c r="C65" i="3"/>
  <c r="C72" i="3"/>
  <c r="C75" i="3"/>
  <c r="C29" i="3"/>
  <c r="C44" i="3"/>
  <c r="C45" i="3"/>
  <c r="C66" i="3"/>
  <c r="C9" i="3"/>
  <c r="C10" i="3"/>
  <c r="C59" i="3"/>
  <c r="C16" i="3"/>
  <c r="C15" i="3"/>
  <c r="C57" i="3"/>
  <c r="C14" i="3"/>
  <c r="C7" i="3"/>
  <c r="C18" i="3"/>
  <c r="C56" i="3"/>
  <c r="C31" i="3"/>
  <c r="C60" i="3"/>
  <c r="C69" i="3"/>
  <c r="C40" i="3"/>
  <c r="C5" i="3"/>
  <c r="C13" i="3"/>
  <c r="C73" i="3"/>
  <c r="C4" i="3"/>
  <c r="C74" i="3"/>
  <c r="C6" i="3"/>
  <c r="C67" i="3"/>
  <c r="C30" i="3"/>
  <c r="C3" i="3"/>
  <c r="C17" i="3"/>
  <c r="C70" i="3"/>
  <c r="C6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<sst xmlns="http://schemas.openxmlformats.org/spreadsheetml/2006/main" count="160" uniqueCount="132">
  <si>
    <t>Reichelt</t>
  </si>
  <si>
    <t>https://astromedia.de/Opti-MediaAchromat-51</t>
  </si>
  <si>
    <t>Schrumpfschlauch</t>
  </si>
  <si>
    <t>Hohlstecker</t>
  </si>
  <si>
    <t>Hohlbuchse</t>
  </si>
  <si>
    <t>Grundplatte 4x6</t>
  </si>
  <si>
    <t>Supermagnete.de</t>
  </si>
  <si>
    <t>Magnetkugel, 5mm</t>
  </si>
  <si>
    <t>Strahlteiler</t>
  </si>
  <si>
    <t>Schraubenhimmel.de</t>
  </si>
  <si>
    <t>Inbus, M3x12</t>
  </si>
  <si>
    <t>Astromedia.de</t>
  </si>
  <si>
    <t>Teildurchlässiger Vorderflächenspiegel</t>
  </si>
  <si>
    <t>Mutter, M3</t>
  </si>
  <si>
    <t>Mutter, M3, Selbstsichernd</t>
  </si>
  <si>
    <t>Spiegel 45°</t>
  </si>
  <si>
    <t>Vorderflächenspiegel</t>
  </si>
  <si>
    <t>Linse 26,5mm</t>
  </si>
  <si>
    <t>Schirm</t>
  </si>
  <si>
    <t>Laser 3V</t>
  </si>
  <si>
    <t>Außensechskant, M3x40</t>
  </si>
  <si>
    <t>USB-Kabel mit Schalter</t>
  </si>
  <si>
    <t>Linse, f=26,5mm</t>
  </si>
  <si>
    <t>Zielhilfe</t>
  </si>
  <si>
    <t>Gitterhalter</t>
  </si>
  <si>
    <t>https://astromedia.de/Vorderflaechen-Glasspiegel-22x22mm</t>
  </si>
  <si>
    <t>https://astromedia.de/Teildurchlaessiger-Vorderflaechen-Glasspiegel-30x40mm</t>
  </si>
  <si>
    <t>Sekundenkleber</t>
  </si>
  <si>
    <t>Anzahl</t>
  </si>
  <si>
    <t>Bezugsquelle</t>
  </si>
  <si>
    <t>Benötigt für ausgewählte Sets</t>
  </si>
  <si>
    <t>Benötigt pro Experiment</t>
  </si>
  <si>
    <t>Wunschliste</t>
  </si>
  <si>
    <t>Experimente</t>
  </si>
  <si>
    <t>https://www.reichelt.de/raspberry-pi-kabel-mit-schalter-100-cm-schwarz-rpi-cable-sw-100-p242762.html?&amp;nbc=1</t>
  </si>
  <si>
    <t>https://www.reichelt.de/hohlstecker-knickschutz-aussen-5-5-mm-innen-2-5-mm-hs-25-9-p8649.html?&amp;trstct=pol_9&amp;nbc=1</t>
  </si>
  <si>
    <t>https://www.reichelt.de/einbaubuchse-aussen-5-6-mm-innen-2-5-mm-dc-072342l-p196471.html?&amp;trstct=pol_15&amp;nbc=1</t>
  </si>
  <si>
    <t>https://www.reichelt.de/schrumpfschlauch-sortiment-schwarz-100-teilig-delock-86271-p152924.html?search=Delock+86271</t>
  </si>
  <si>
    <t>Zwillingslitze</t>
  </si>
  <si>
    <t>https://www.reichelt.de/sekundenkleber-super-glue-140-schnell-aushaertend-20-g-wiko-sg140-20-p98444.html?&amp;trstct=pos_5&amp;nbc=1</t>
  </si>
  <si>
    <t>https://www.supermagnete.de/magnetkugeln-neodym/magnetkugel-5mm_K-05-N</t>
  </si>
  <si>
    <t>00A_Sw_V1_Grundplatte 4x6</t>
  </si>
  <si>
    <t>https://www.magnethandel.de/neocube-216-magnetkugeln-kugelmagnete-magnetset-nickel</t>
  </si>
  <si>
    <t>Alternative Magnetkugeln</t>
  </si>
  <si>
    <t>01A_Go_V1_Würfelboden 1x1</t>
  </si>
  <si>
    <t>01B_Go_V1_Würfelboden 1x1_geschlossen</t>
  </si>
  <si>
    <t>02A_Br_V1_Würfeldeckel 1x1</t>
  </si>
  <si>
    <t>10A_Si_V1_Einsatz 90°</t>
  </si>
  <si>
    <t>10B_Si_V1_Einsatz 45°</t>
  </si>
  <si>
    <t>11A_Si_V1_Laserplatte</t>
  </si>
  <si>
    <t>11C_Si_V1_Spiegelplatte</t>
  </si>
  <si>
    <t>12A_Si_V1_Strahlteiler_Oben</t>
  </si>
  <si>
    <t>12A_Si_V1_Strahlteiler_Klemme</t>
  </si>
  <si>
    <t>12A_Si_V1_Strahlteiler_Unten</t>
  </si>
  <si>
    <t>13C_Si_V1_Linsenhalter_f=26,5mm</t>
  </si>
  <si>
    <t>03A_Ro_V1_Stellschraube_Kopf</t>
  </si>
  <si>
    <t>05A_Si_V1_Gitterhalter_Rahmen</t>
  </si>
  <si>
    <t>05A_Si_V1_Gitterhalter_Stopper</t>
  </si>
  <si>
    <t>05A_Si_V1_Gitterhalter_Schlitten</t>
  </si>
  <si>
    <t>05A_Ro_V1_Gitterhalter_Drehknopf</t>
  </si>
  <si>
    <t>Gewindeeinsatz</t>
  </si>
  <si>
    <t>https://www.reichelt.de/3d-druck-gewindeeinsaetze-m3x5-7-100-stueck-rx-m3x5-7-p332213.html?&amp;trstct=pos_4&amp;nbc=1</t>
  </si>
  <si>
    <t>Bauteile</t>
  </si>
  <si>
    <t>00B_Sw_V2_Verbinder_Gr.P</t>
  </si>
  <si>
    <t>00B_Sw_V2_Grundplatte_Verb. 4x3</t>
  </si>
  <si>
    <t>Grundplatte 4x3 2St.</t>
  </si>
  <si>
    <t>https://www.reichelt.de/lautsprecherkabel-rot-schwarz-cu-10-m-la-205-10-p9813.html?&amp;trstct=vrt_pdn&amp;nbc=1</t>
  </si>
  <si>
    <t>https://www.reichelt.de/loetzinn-bleifrei-0-75-mm-250-g-lz-fe-csn-0-75-2-p141701.html?&amp;trstct=pos_5&amp;nbc=1</t>
  </si>
  <si>
    <t>Lötzinn</t>
  </si>
  <si>
    <t>04A_We_V1_Schirm Basis</t>
  </si>
  <si>
    <t>04B_We_V1_Schirm</t>
  </si>
  <si>
    <t>04C_We_V1_Lochblende</t>
  </si>
  <si>
    <t>Summe Module</t>
  </si>
  <si>
    <t>https://o3q.de/anleitungen-dateien/</t>
  </si>
  <si>
    <t>https://www.schraubenhimmel.de/muttern/sechskantmuttern/normale-form/40146/din-934-stahl-6-verzinkt-m-3-sechskantmuttern</t>
  </si>
  <si>
    <t>https://www.schraubenhimmel.de/schrauben/zylinderkopf/metrisch-innensechskant/39228/din-912-stahl-8.8-verzinkt-m-3x12-zylinderschrauben-mit-innensechskant</t>
  </si>
  <si>
    <t>https://www.schraubenhimmel.de/muttern/sechskantmuttern/stopmuttern/mit-kunststoff-klemmteil/28174/din-985-stahl-6-verzinkt-m-3-sechskantmutter-mit-klemmteil-niedrige-form-kleinpaket</t>
  </si>
  <si>
    <t>https://www.schraubenhimmel.de/schrauben/sechskantkopf/metrisch/95172/din-933/iso-4017-stahl-8.8-verzinkt-m-3x40-sechskantschrauben-vollgewinde</t>
  </si>
  <si>
    <t>https://www.conrad.de/de/p/3m-vhb-5952f-5952f-193-doppelseitiges-klebeband-vhb-5952f-schwarz-l-x-b-3-m-x-19-mm-1-st-806742.html</t>
  </si>
  <si>
    <t>Klebepad ~19mm^2</t>
  </si>
  <si>
    <t>Spiralschlauch</t>
  </si>
  <si>
    <t>https://www.reichelt.de/spiralschlauch-3-25-mm-10-m-weiss-quad-2111c141-p332584.html</t>
  </si>
  <si>
    <t>ODMR</t>
  </si>
  <si>
    <t>XY-Stage</t>
  </si>
  <si>
    <t>Farbfilter</t>
  </si>
  <si>
    <t>Photodiode</t>
  </si>
  <si>
    <t>Steuerkasten</t>
  </si>
  <si>
    <t>Roithner Laser</t>
  </si>
  <si>
    <t xml:space="preserve">Laserdiode Grün: CW532-1-831	</t>
  </si>
  <si>
    <t>https://www.roithner-laser.com/laser_modules_dot_532.html</t>
  </si>
  <si>
    <t>31_Si_V1_XY-Stage_Backplate</t>
  </si>
  <si>
    <t>31_Si_V1_XY-Stage_Mitte</t>
  </si>
  <si>
    <t>31_Si_V1_XY-Stage_Rahmen</t>
  </si>
  <si>
    <t>31_Si_V1_XY-Stage_Stage</t>
  </si>
  <si>
    <t>SMA-Kabel mit Stecker</t>
  </si>
  <si>
    <t>https://www.reichelt.de/hf-antennenkabel-sma-stecker-sma-stecker-2-m-lmr195-low-loss-delock-88892-p257766.html?&amp;trstct=pol_4&amp;nbc=1</t>
  </si>
  <si>
    <t>Sonderbauteile</t>
  </si>
  <si>
    <t>Platine mit Diamanten</t>
  </si>
  <si>
    <t>Federn</t>
  </si>
  <si>
    <t>https://www.conrad.de/de/p/17441-druckfedern-inhalt-5-st-893193.html#productDownloads</t>
  </si>
  <si>
    <t>Hallsonde</t>
  </si>
  <si>
    <t>XLR-Stecker, 3-polig</t>
  </si>
  <si>
    <t>https://www.reichelt.de/xlr-stecker-3-polig-vernickelte-kontakte-xlr-3st-n-p40793.html</t>
  </si>
  <si>
    <t>Kabelbinder</t>
  </si>
  <si>
    <t>https://www.reichelt.de/sma-stecker-sma-stecker-delock-88726-p139096.html</t>
  </si>
  <si>
    <t>SMA-Verbinder</t>
  </si>
  <si>
    <t>https://www.reichelt.de/entwicklerboards-relais-modul-1-channel-5-v-debo-relais-1ch-p282566.html?&amp;nbc=1</t>
  </si>
  <si>
    <t>Relais 5V</t>
  </si>
  <si>
    <t>XLR-Einbaubuchse, 4-polig</t>
  </si>
  <si>
    <t>XLR-Einbaubuchse, 3-polig</t>
  </si>
  <si>
    <t>https://www.reichelt.de/xlr-einbaubuchse-3-polig-vernickelte-kontakte-xlr-3eb-n-p40794.html</t>
  </si>
  <si>
    <t>https://www.reichelt.de/xlr-einbaubuchse-4-polig-mit-verriegelung-xlr-4eb-p22903.html</t>
  </si>
  <si>
    <t>Widerstand 10Ohm (In Laserdiodenkabel oder Steuerkasten?)</t>
  </si>
  <si>
    <t>09_Si_V1_Steuerkasten_Boden</t>
  </si>
  <si>
    <t>Lochrasterplatine 40x60</t>
  </si>
  <si>
    <t>https://www.reichelt.de/lochrasterplatine-doppelseitig-60-x-40-mm-lr-ds-46-p319112.html</t>
  </si>
  <si>
    <t>ESP32 Dev Kit C V4</t>
  </si>
  <si>
    <t>https://www.conrad.de/de/p/az-delivery-esp32-dev-kit-c-v4-unverloetet-kompatibel-mit-arduino-850038777.html</t>
  </si>
  <si>
    <t>Bei Markus</t>
  </si>
  <si>
    <t>https://www.reichelt.de/duennschichtwiderstand-axial-1-w-10-ohm-1--vi-mbe04140c1009-p233801.html</t>
  </si>
  <si>
    <t>ADF4351</t>
  </si>
  <si>
    <t>Ebay</t>
  </si>
  <si>
    <t>SPF5189</t>
  </si>
  <si>
    <t>Buchsenleiste</t>
  </si>
  <si>
    <t>https://www.reichelt.de/buchsenleiste-50-pol-gerade-rm-2-54-h-7-0-mm-bl-1x50g7-2-54-p180556.html</t>
  </si>
  <si>
    <t>https://www.reichelt.de/smd-widerstand-0805-51-ohm-125-mw-5--rnd-1550805-ap-p250233.html</t>
  </si>
  <si>
    <t>Widerstand 51Ohm SMD</t>
  </si>
  <si>
    <t>https://www.reichelt.de/xlr-stecker-4-polig-vernickelte-kontakte-xlr-4st-n-p255796.html</t>
  </si>
  <si>
    <t>XLR-Stecker, 4-polig</t>
  </si>
  <si>
    <t>Lichtsensor TSL2591</t>
  </si>
  <si>
    <t>https://www.reichelt.de/entwicklerboards-lichtsensor-tsl2591-debo-light-sens6-p316547.html</t>
  </si>
  <si>
    <t>https://www.reichelt.de/hallsensor-digital-uni-bipolar-3-8-24-v-tle-4905l-p25717.html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</si>
</sst>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trike/>
      <u/>
      <sz val="11"/>
      <color rgb="FFFF0000"/>
      <name val="Calibri"/>
      <family val="2"/>
      <scheme val="minor"/>
    </font>
    <font>
      <b/>
      <strike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4A670"/>
        <bgColor indexed="64"/>
      </patternFill>
    </fill>
    <fill>
      <patternFill patternType="solid">
        <fgColor rgb="FFE4B91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5" borderId="0" xfId="0" applyFont="1" applyFill="1"/>
    <xf numFmtId="0" fontId="1" fillId="0" borderId="0" xfId="0" applyFont="1"/>
    <xf numFmtId="0" fontId="3" fillId="6" borderId="0" xfId="0" applyFont="1" applyFill="1"/>
    <xf numFmtId="0" fontId="0" fillId="5" borderId="0" xfId="0" applyFill="1"/>
    <xf numFmtId="0" fontId="0" fillId="8" borderId="0" xfId="0" applyFill="1"/>
    <xf numFmtId="0" fontId="5" fillId="0" borderId="1" xfId="0" applyFont="1" applyBorder="1" applyAlignment="1">
      <alignment horizontal="center" vertical="center" textRotation="90"/>
    </xf>
    <xf numFmtId="0" fontId="5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center"/>
    </xf>
    <xf numFmtId="0" fontId="2" fillId="0" borderId="1" xfId="1" applyBorder="1"/>
    <xf numFmtId="0" fontId="0" fillId="0" borderId="1" xfId="0" applyBorder="1"/>
    <xf numFmtId="0" fontId="0" fillId="0" borderId="2" xfId="0" applyBorder="1"/>
    <xf numFmtId="0" fontId="1" fillId="7" borderId="2" xfId="0" applyFont="1" applyFill="1" applyBorder="1"/>
    <xf numFmtId="0" fontId="0" fillId="7" borderId="2" xfId="0" applyFill="1" applyBorder="1"/>
    <xf numFmtId="0" fontId="2" fillId="0" borderId="0" xfId="1" applyBorder="1"/>
    <xf numFmtId="0" fontId="3" fillId="6" borderId="1" xfId="0" applyFont="1" applyFill="1" applyBorder="1"/>
    <xf numFmtId="0" fontId="1" fillId="0" borderId="4" xfId="0" applyFont="1" applyBorder="1" applyAlignment="1">
      <alignment horizontal="center" vertical="center" textRotation="90"/>
    </xf>
    <xf numFmtId="0" fontId="0" fillId="7" borderId="5" xfId="0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" xfId="0" applyBorder="1"/>
    <xf numFmtId="0" fontId="0" fillId="9" borderId="2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9" borderId="1" xfId="0" applyFont="1" applyFill="1" applyBorder="1"/>
    <xf numFmtId="0" fontId="0" fillId="0" borderId="3" xfId="0" applyBorder="1" applyAlignment="1">
      <alignment horizontal="center" vertical="center"/>
    </xf>
    <xf numFmtId="0" fontId="1" fillId="0" borderId="6" xfId="0" applyFont="1" applyBorder="1"/>
    <xf numFmtId="0" fontId="0" fillId="0" borderId="6" xfId="0" applyBorder="1"/>
    <xf numFmtId="0" fontId="1" fillId="0" borderId="7" xfId="0" applyFont="1" applyBorder="1" applyAlignment="1">
      <alignment horizontal="center" vertical="center"/>
    </xf>
    <xf numFmtId="0" fontId="2" fillId="0" borderId="2" xfId="1" applyBorder="1"/>
    <xf numFmtId="0" fontId="0" fillId="0" borderId="0" xfId="0" applyAlignment="1">
      <alignment vertical="center"/>
    </xf>
    <xf numFmtId="0" fontId="2" fillId="0" borderId="0" xfId="1" applyAlignment="1">
      <alignment horizontal="left" vertical="center" indent="1"/>
    </xf>
    <xf numFmtId="0" fontId="2" fillId="0" borderId="0" xfId="1" applyFill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1" applyFont="1" applyFill="1"/>
    <xf numFmtId="0" fontId="9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0000"/>
      <color rgb="FFC4A670"/>
      <color rgb="FFBFBFBF"/>
      <color rgb="FFE4B91A"/>
      <color rgb="FFE7C417"/>
      <color rgb="FFCC99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o3q.de/anleitungen-dateien/" TargetMode="External"/><Relationship Id="rId18" Type="http://schemas.openxmlformats.org/officeDocument/2006/relationships/hyperlink" Target="https://www.schraubenhimmel.de/schrauben/sechskantkopf/metrisch/95172/din-933/iso-4017-stahl-8.8-verzinkt-m-3x40-sechskantschrauben-vollgewinde" TargetMode="External"/><Relationship Id="rId26" Type="http://schemas.openxmlformats.org/officeDocument/2006/relationships/hyperlink" Target="https://o3q.de/anleitungen-dateien/" TargetMode="External"/><Relationship Id="rId39" Type="http://schemas.openxmlformats.org/officeDocument/2006/relationships/hyperlink" Target="https://www.conrad.de/de/p/17441-druckfedern-inhalt-5-st-893193.html" TargetMode="External"/><Relationship Id="rId21" Type="http://schemas.openxmlformats.org/officeDocument/2006/relationships/hyperlink" Target="https://o3q.de/anleitungen-dateien/" TargetMode="External"/><Relationship Id="rId34" Type="http://schemas.openxmlformats.org/officeDocument/2006/relationships/hyperlink" Target="https://o3q.de/anleitungen-dateien/" TargetMode="External"/><Relationship Id="rId42" Type="http://schemas.openxmlformats.org/officeDocument/2006/relationships/hyperlink" Target="https://www.reichelt.de/entwicklerboards-lichtsensor-tsl2591-debo-light-sens6-p316547.html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https://astromedia.de/Vorderflaechen-Glasspiegel-22x22mm" TargetMode="External"/><Relationship Id="rId2" Type="http://schemas.openxmlformats.org/officeDocument/2006/relationships/hyperlink" Target="https://www.reichelt.de/hohlstecker-knickschutz-aussen-5-5-mm-innen-2-5-mm-hs-25-9-p8649.html?&amp;trstct=pol_9&amp;nbc=1" TargetMode="External"/><Relationship Id="rId16" Type="http://schemas.openxmlformats.org/officeDocument/2006/relationships/hyperlink" Target="https://www.schraubenhimmel.de/schrauben/zylinderkopf/metrisch-innensechskant/39228/din-912-stahl-8.8-verzinkt-m-3x12-zylinderschrauben-mit-innensechskant" TargetMode="External"/><Relationship Id="rId29" Type="http://schemas.openxmlformats.org/officeDocument/2006/relationships/hyperlink" Target="https://o3q.de/anleitungen-dateien/" TargetMode="External"/><Relationship Id="rId1" Type="http://schemas.openxmlformats.org/officeDocument/2006/relationships/hyperlink" Target="https://www.reichelt.de/raspberry-pi-kabel-mit-schalter-100-cm-schwarz-rpi-cable-sw-100-p242762.html?&amp;nbc=1" TargetMode="External"/><Relationship Id="rId6" Type="http://schemas.openxmlformats.org/officeDocument/2006/relationships/hyperlink" Target="https://www.reichelt.de/sekundenkleber-super-glue-140-schnell-aushaertend-20-g-wiko-sg140-20-p98444.html?&amp;trstct=pos_5&amp;nbc=1" TargetMode="External"/><Relationship Id="rId11" Type="http://schemas.openxmlformats.org/officeDocument/2006/relationships/hyperlink" Target="https://www.magnethandel.de/neocube-216-magnetkugeln-kugelmagnete-magnetset-nickel" TargetMode="External"/><Relationship Id="rId24" Type="http://schemas.openxmlformats.org/officeDocument/2006/relationships/hyperlink" Target="https://o3q.de/anleitungen-dateien/" TargetMode="External"/><Relationship Id="rId32" Type="http://schemas.openxmlformats.org/officeDocument/2006/relationships/hyperlink" Target="https://o3q.de/anleitungen-dateien/" TargetMode="External"/><Relationship Id="rId37" Type="http://schemas.openxmlformats.org/officeDocument/2006/relationships/hyperlink" Target="https://o3q.de/anleitungen-dateien/" TargetMode="External"/><Relationship Id="rId40" Type="http://schemas.openxmlformats.org/officeDocument/2006/relationships/hyperlink" Target="https://www.reichelt.de/hf-antennenkabel-sma-stecker-sma-stecker-2-m-lmr195-low-loss-delock-88892-p257766.html?&amp;trstct=pol_4&amp;nbc=1" TargetMode="External"/><Relationship Id="rId45" Type="http://schemas.openxmlformats.org/officeDocument/2006/relationships/hyperlink" Target="https://www.reichelt.de/entwicklerboards-relais-modul-1-channel-5-v-debo-relais-1ch-p282566.html?&amp;nbc=1" TargetMode="External"/><Relationship Id="rId5" Type="http://schemas.openxmlformats.org/officeDocument/2006/relationships/hyperlink" Target="https://www.reichelt.de/lautsprecherkabel-rot-schwarz-cu-10-m-la-205-10-p9813.html?&amp;trstct=vrt_pdn&amp;nbc=1" TargetMode="External"/><Relationship Id="rId15" Type="http://schemas.openxmlformats.org/officeDocument/2006/relationships/hyperlink" Target="https://www.schraubenhimmel.de/muttern/sechskantmuttern/normale-form/40146/din-934-stahl-6-verzinkt-m-3-sechskantmuttern" TargetMode="External"/><Relationship Id="rId23" Type="http://schemas.openxmlformats.org/officeDocument/2006/relationships/hyperlink" Target="https://o3q.de/anleitungen-dateien/" TargetMode="External"/><Relationship Id="rId28" Type="http://schemas.openxmlformats.org/officeDocument/2006/relationships/hyperlink" Target="https://o3q.de/anleitungen-dateien/" TargetMode="External"/><Relationship Id="rId36" Type="http://schemas.openxmlformats.org/officeDocument/2006/relationships/hyperlink" Target="https://o3q.de/anleitungen-dateien/" TargetMode="External"/><Relationship Id="rId10" Type="http://schemas.openxmlformats.org/officeDocument/2006/relationships/hyperlink" Target="https://www.supermagnete.de/magnetkugeln-neodym/magnetkugel-5mm_K-05-N" TargetMode="External"/><Relationship Id="rId19" Type="http://schemas.openxmlformats.org/officeDocument/2006/relationships/hyperlink" Target="https://www.reichelt.de/spiralschlauch-3-25-mm-10-m-weiss-quad-2111c141-p332584.html" TargetMode="External"/><Relationship Id="rId31" Type="http://schemas.openxmlformats.org/officeDocument/2006/relationships/hyperlink" Target="https://o3q.de/anleitungen-dateien/" TargetMode="External"/><Relationship Id="rId44" Type="http://schemas.openxmlformats.org/officeDocument/2006/relationships/hyperlink" Target="https://www.reichelt.de/xlr-stecker-4-polig-vernickelte-kontakte-xlr-4st-n-p255796.html" TargetMode="External"/><Relationship Id="rId4" Type="http://schemas.openxmlformats.org/officeDocument/2006/relationships/hyperlink" Target="https://www.reichelt.de/schrumpfschlauch-sortiment-schwarz-100-teilig-delock-86271-p152924.html?search=Delock+86271" TargetMode="External"/><Relationship Id="rId9" Type="http://schemas.openxmlformats.org/officeDocument/2006/relationships/hyperlink" Target="https://astromedia.de/Opti-MediaAchromat-51" TargetMode="External"/><Relationship Id="rId14" Type="http://schemas.openxmlformats.org/officeDocument/2006/relationships/hyperlink" Target="https://www.conrad.de/de/p/3m-vhb-5952f-5952f-193-doppelseitiges-klebeband-vhb-5952f-schwarz-l-x-b-3-m-x-19-mm-1-st-806742.html" TargetMode="External"/><Relationship Id="rId22" Type="http://schemas.openxmlformats.org/officeDocument/2006/relationships/hyperlink" Target="https://o3q.de/anleitungen-dateien/" TargetMode="External"/><Relationship Id="rId27" Type="http://schemas.openxmlformats.org/officeDocument/2006/relationships/hyperlink" Target="https://o3q.de/anleitungen-dateien/" TargetMode="External"/><Relationship Id="rId30" Type="http://schemas.openxmlformats.org/officeDocument/2006/relationships/hyperlink" Target="https://o3q.de/anleitungen-dateien/" TargetMode="External"/><Relationship Id="rId35" Type="http://schemas.openxmlformats.org/officeDocument/2006/relationships/hyperlink" Target="https://o3q.de/anleitungen-dateien/" TargetMode="External"/><Relationship Id="rId43" Type="http://schemas.openxmlformats.org/officeDocument/2006/relationships/hyperlink" Target="https://www.reichelt.de/xlr-stecker-3-polig-vernickelte-kontakte-xlr-3st-n-p40793.html" TargetMode="External"/><Relationship Id="rId8" Type="http://schemas.openxmlformats.org/officeDocument/2006/relationships/hyperlink" Target="https://astromedia.de/Teildurchlaessiger-Vorderflaechen-Glasspiegel-30x40mm" TargetMode="External"/><Relationship Id="rId3" Type="http://schemas.openxmlformats.org/officeDocument/2006/relationships/hyperlink" Target="https://www.reichelt.de/einbaubuchse-aussen-5-6-mm-innen-2-5-mm-dc-072342l-p196471.html?&amp;trstct=pol_15&amp;nbc=1" TargetMode="External"/><Relationship Id="rId12" Type="http://schemas.openxmlformats.org/officeDocument/2006/relationships/hyperlink" Target="https://www.reichelt.de/3d-druck-gewindeeinsaetze-m3x5-7-100-stueck-rx-m3x5-7-p332213.html?&amp;trstct=pos_4&amp;nbc=1" TargetMode="External"/><Relationship Id="rId17" Type="http://schemas.openxmlformats.org/officeDocument/2006/relationships/hyperlink" Target="https://www.schraubenhimmel.de/muttern/sechskantmuttern/stopmuttern/mit-kunststoff-klemmteil/28174/din-985-stahl-6-verzinkt-m-3-sechskantmutter-mit-klemmteil-niedrige-form-kleinpaket" TargetMode="External"/><Relationship Id="rId25" Type="http://schemas.openxmlformats.org/officeDocument/2006/relationships/hyperlink" Target="https://o3q.de/anleitungen-dateien/" TargetMode="External"/><Relationship Id="rId33" Type="http://schemas.openxmlformats.org/officeDocument/2006/relationships/hyperlink" Target="https://o3q.de/anleitungen-dateien/" TargetMode="External"/><Relationship Id="rId38" Type="http://schemas.openxmlformats.org/officeDocument/2006/relationships/hyperlink" Target="https://o3q.de/anleitungen-dateien/" TargetMode="External"/><Relationship Id="rId46" Type="http://schemas.openxmlformats.org/officeDocument/2006/relationships/hyperlink" Target="https://www.reichelt.de/hallsensor-digital-uni-bipolar-3-8-24-v-tle-4905l-p25717.html" TargetMode="External"/><Relationship Id="rId20" Type="http://schemas.openxmlformats.org/officeDocument/2006/relationships/hyperlink" Target="https://www.roithner-laser.com/laser_modules_dot_532.html" TargetMode="External"/><Relationship Id="rId41" Type="http://schemas.openxmlformats.org/officeDocument/2006/relationships/hyperlink" Target="https://www.reichelt.de/xlr-einbaubuchse-3-polig-vernickelte-kontakte-xlr-3eb-n-p4079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D8C3-DE97-402C-97A2-196270480E76}">
  <dimension ref="A1:G37"/>
  <sheetViews>
    <sheetView tabSelected="1" workbookViewId="0">
      <selection activeCell="C17" sqref="C17"/>
    </sheetView>
  </sheetViews>
  <sheetFormatPr baseColWidth="10" defaultRowHeight="15" x14ac:dyDescent="0.25"/>
  <cols>
    <col min="1" max="1" width="30.5703125" customWidth="1"/>
    <col min="2" max="2" width="15.85546875" customWidth="1"/>
    <col min="3" max="3" width="11" customWidth="1"/>
    <col min="4" max="4" width="33.42578125" customWidth="1"/>
    <col min="5" max="5" width="18.85546875" customWidth="1"/>
    <col min="6" max="6" width="20.85546875" customWidth="1"/>
  </cols>
  <sheetData>
    <row r="1" spans="1:7" x14ac:dyDescent="0.25">
      <c r="A1" s="43" t="s">
        <v>32</v>
      </c>
      <c r="B1" s="43"/>
    </row>
    <row r="2" spans="1:7" x14ac:dyDescent="0.25">
      <c r="A2" s="29" t="s">
        <v>33</v>
      </c>
      <c r="B2" s="29" t="s">
        <v>28</v>
      </c>
    </row>
    <row r="3" spans="1:7" x14ac:dyDescent="0.25">
      <c r="A3" t="s">
        <v>82</v>
      </c>
      <c r="B3" s="28">
        <v>1</v>
      </c>
      <c r="F3" s="6"/>
      <c r="G3" s="6"/>
    </row>
    <row r="4" spans="1:7" x14ac:dyDescent="0.25">
      <c r="B4" s="28"/>
    </row>
    <row r="5" spans="1:7" x14ac:dyDescent="0.25">
      <c r="B5" s="28"/>
    </row>
    <row r="6" spans="1:7" x14ac:dyDescent="0.25">
      <c r="B6" s="28"/>
    </row>
    <row r="7" spans="1:7" x14ac:dyDescent="0.25">
      <c r="B7" s="28"/>
    </row>
    <row r="8" spans="1:7" x14ac:dyDescent="0.25">
      <c r="B8" s="28"/>
    </row>
    <row r="9" spans="1:7" x14ac:dyDescent="0.25">
      <c r="B9" s="28"/>
    </row>
    <row r="10" spans="1:7" x14ac:dyDescent="0.25">
      <c r="B10" s="28"/>
    </row>
    <row r="11" spans="1:7" x14ac:dyDescent="0.25">
      <c r="B11" s="28"/>
    </row>
    <row r="12" spans="1:7" x14ac:dyDescent="0.25">
      <c r="B12" s="28"/>
    </row>
    <row r="13" spans="1:7" x14ac:dyDescent="0.25">
      <c r="B13" s="28"/>
    </row>
    <row r="14" spans="1:7" x14ac:dyDescent="0.25">
      <c r="B14" s="28"/>
    </row>
    <row r="15" spans="1:7" x14ac:dyDescent="0.25">
      <c r="B15" s="28"/>
    </row>
    <row r="24" spans="6:6" x14ac:dyDescent="0.25">
      <c r="F24" s="35"/>
    </row>
    <row r="25" spans="6:6" x14ac:dyDescent="0.25">
      <c r="F25" s="35"/>
    </row>
    <row r="26" spans="6:6" x14ac:dyDescent="0.25">
      <c r="F26" s="35"/>
    </row>
    <row r="27" spans="6:6" x14ac:dyDescent="0.25">
      <c r="F27" s="36"/>
    </row>
    <row r="28" spans="6:6" x14ac:dyDescent="0.25">
      <c r="F28" s="36"/>
    </row>
    <row r="29" spans="6:6" x14ac:dyDescent="0.25">
      <c r="F29" s="36"/>
    </row>
    <row r="30" spans="6:6" x14ac:dyDescent="0.25">
      <c r="F30" s="36"/>
    </row>
    <row r="31" spans="6:6" x14ac:dyDescent="0.25">
      <c r="F31" s="36"/>
    </row>
    <row r="32" spans="6:6" x14ac:dyDescent="0.25">
      <c r="F32" s="36"/>
    </row>
    <row r="33" spans="6:6" x14ac:dyDescent="0.25">
      <c r="F33" s="35"/>
    </row>
    <row r="34" spans="6:6" x14ac:dyDescent="0.25">
      <c r="F34" s="36"/>
    </row>
    <row r="35" spans="6:6" x14ac:dyDescent="0.25">
      <c r="F35" s="35"/>
    </row>
    <row r="36" spans="6:6" x14ac:dyDescent="0.25">
      <c r="F36" s="35"/>
    </row>
    <row r="37" spans="6:6" x14ac:dyDescent="0.25">
      <c r="F37" s="35"/>
    </row>
  </sheetData>
  <mergeCells count="1">
    <mergeCell ref="A1:B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4E63-4D3B-44A2-A4FD-5BEE8E2EC5EB}">
  <dimension ref="A1:R81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S51" sqref="S51"/>
    </sheetView>
  </sheetViews>
  <sheetFormatPr baseColWidth="10" defaultRowHeight="15" x14ac:dyDescent="0.25"/>
  <cols>
    <col min="1" max="1" width="36.5703125" customWidth="1"/>
    <col min="2" max="2" width="15.28515625" customWidth="1"/>
    <col min="3" max="3" width="8.28515625" style="26" customWidth="1"/>
    <col min="4" max="8" width="7.7109375" customWidth="1"/>
    <col min="10" max="12" width="7.7109375" customWidth="1"/>
    <col min="15" max="16" width="7.7109375" customWidth="1"/>
  </cols>
  <sheetData>
    <row r="1" spans="1:16" ht="78.75" customHeight="1" x14ac:dyDescent="0.25">
      <c r="A1" s="12" t="s">
        <v>62</v>
      </c>
      <c r="B1" s="10" t="s">
        <v>29</v>
      </c>
      <c r="C1" s="20" t="s">
        <v>72</v>
      </c>
      <c r="D1" s="11" t="s">
        <v>65</v>
      </c>
      <c r="E1" s="11" t="s">
        <v>5</v>
      </c>
      <c r="F1" s="11" t="s">
        <v>19</v>
      </c>
      <c r="G1" s="11" t="s">
        <v>8</v>
      </c>
      <c r="H1" s="11" t="s">
        <v>17</v>
      </c>
      <c r="I1" s="11" t="s">
        <v>83</v>
      </c>
      <c r="J1" s="11" t="s">
        <v>15</v>
      </c>
      <c r="K1" s="11" t="s">
        <v>84</v>
      </c>
      <c r="L1" s="11" t="s">
        <v>24</v>
      </c>
      <c r="M1" s="11" t="s">
        <v>85</v>
      </c>
      <c r="N1" s="11" t="s">
        <v>86</v>
      </c>
      <c r="O1" s="11" t="s">
        <v>18</v>
      </c>
      <c r="P1" s="11" t="s">
        <v>23</v>
      </c>
    </row>
    <row r="2" spans="1:16" s="15" customFormat="1" ht="15.75" thickBot="1" x14ac:dyDescent="0.3">
      <c r="A2" s="16" t="s">
        <v>30</v>
      </c>
      <c r="B2" s="17"/>
      <c r="C2" s="21">
        <f>SUM(J2:P2)</f>
        <v>7</v>
      </c>
      <c r="D2" s="27" cm="1">
        <f t="array" ref="D2">MAX(D80:D80*$C80:$C80)</f>
        <v>1</v>
      </c>
      <c r="E2" s="27" cm="1">
        <f t="array" ref="E2">MAX(E80:E80*$C80:$C80)</f>
        <v>1</v>
      </c>
      <c r="F2" s="27" cm="1">
        <f t="array" ref="F2">MAX(F80:F80*$C80:$C80)</f>
        <v>1</v>
      </c>
      <c r="G2" s="27" cm="1">
        <f t="array" ref="G2">MAX(G80:G80*$C80:$C80)</f>
        <v>1</v>
      </c>
      <c r="H2" s="27" cm="1">
        <f t="array" ref="H2">MAX(H80:H80*$C80:$C80)</f>
        <v>1</v>
      </c>
      <c r="I2" s="27" cm="1">
        <f t="array" ref="I2">MAX(I80:I80*$C80:$C80)</f>
        <v>1</v>
      </c>
      <c r="J2" s="27" cm="1">
        <f t="array" ref="J2">MAX(J80:J80*$C80:$C80)</f>
        <v>1</v>
      </c>
      <c r="K2" s="27" cm="1">
        <f t="array" ref="K2">MAX(K80:K80*$C80:$C80)</f>
        <v>1</v>
      </c>
      <c r="L2" s="27" cm="1">
        <f t="array" ref="L2">MAX(L80:L80*$C80:$C80)</f>
        <v>1</v>
      </c>
      <c r="M2" s="27" cm="1">
        <f t="array" ref="M2">MAX(M80:M80*$C80:$C80)</f>
        <v>1</v>
      </c>
      <c r="N2" s="27" cm="1">
        <f t="array" ref="N2">MAX(N80:N80*$C80:$C80)</f>
        <v>1</v>
      </c>
      <c r="O2" s="27" cm="1">
        <f t="array" ref="O2">MAX(O80:O80*$C80:$C80)</f>
        <v>1</v>
      </c>
      <c r="P2" s="27" cm="1">
        <f t="array" ref="P2">MAX(P80:P80*$C80:$C80)</f>
        <v>1</v>
      </c>
    </row>
    <row r="3" spans="1:16" ht="15.75" thickTop="1" x14ac:dyDescent="0.25">
      <c r="A3" s="7" t="s">
        <v>41</v>
      </c>
      <c r="B3" s="1" t="s">
        <v>73</v>
      </c>
      <c r="C3" s="22">
        <f t="shared" ref="C3:C19" si="0">SUMPRODUCT(D3:P3,D$2:P$2)</f>
        <v>1</v>
      </c>
      <c r="D3">
        <v>0</v>
      </c>
      <c r="E3">
        <v>1</v>
      </c>
    </row>
    <row r="4" spans="1:16" x14ac:dyDescent="0.25">
      <c r="A4" s="7" t="s">
        <v>64</v>
      </c>
      <c r="B4" s="1" t="s">
        <v>73</v>
      </c>
      <c r="C4" s="22">
        <f t="shared" si="0"/>
        <v>2</v>
      </c>
      <c r="D4">
        <v>2</v>
      </c>
    </row>
    <row r="5" spans="1:16" s="14" customFormat="1" x14ac:dyDescent="0.25">
      <c r="A5" s="19" t="s">
        <v>63</v>
      </c>
      <c r="B5" s="1" t="s">
        <v>73</v>
      </c>
      <c r="C5" s="23">
        <f t="shared" si="0"/>
        <v>3</v>
      </c>
      <c r="D5" s="14">
        <v>3</v>
      </c>
    </row>
    <row r="6" spans="1:16" x14ac:dyDescent="0.25">
      <c r="A6" s="3" t="s">
        <v>44</v>
      </c>
      <c r="B6" s="1" t="s">
        <v>73</v>
      </c>
      <c r="C6" s="22">
        <f t="shared" si="0"/>
        <v>5</v>
      </c>
      <c r="F6">
        <v>1</v>
      </c>
      <c r="G6">
        <v>1</v>
      </c>
      <c r="H6">
        <v>1</v>
      </c>
      <c r="I6">
        <v>1</v>
      </c>
      <c r="J6">
        <v>1</v>
      </c>
    </row>
    <row r="7" spans="1:16" x14ac:dyDescent="0.25">
      <c r="A7" s="3" t="s">
        <v>45</v>
      </c>
      <c r="B7" s="1" t="s">
        <v>73</v>
      </c>
      <c r="C7" s="22">
        <f t="shared" si="0"/>
        <v>2</v>
      </c>
      <c r="K7">
        <v>1</v>
      </c>
      <c r="L7">
        <v>1</v>
      </c>
    </row>
    <row r="8" spans="1:16" x14ac:dyDescent="0.25">
      <c r="A8" s="2" t="s">
        <v>46</v>
      </c>
      <c r="B8" s="1" t="s">
        <v>73</v>
      </c>
      <c r="C8" s="22">
        <f t="shared" si="0"/>
        <v>5</v>
      </c>
      <c r="F8">
        <v>1</v>
      </c>
      <c r="G8">
        <v>1</v>
      </c>
      <c r="H8">
        <v>1</v>
      </c>
      <c r="I8">
        <v>1</v>
      </c>
      <c r="J8">
        <v>1</v>
      </c>
    </row>
    <row r="9" spans="1:16" x14ac:dyDescent="0.25">
      <c r="A9" s="4" t="s">
        <v>56</v>
      </c>
      <c r="B9" s="1" t="s">
        <v>73</v>
      </c>
      <c r="C9" s="22">
        <f t="shared" si="0"/>
        <v>1</v>
      </c>
      <c r="L9">
        <v>1</v>
      </c>
    </row>
    <row r="10" spans="1:16" x14ac:dyDescent="0.25">
      <c r="A10" s="4" t="s">
        <v>57</v>
      </c>
      <c r="B10" s="1" t="s">
        <v>73</v>
      </c>
      <c r="C10" s="22">
        <f t="shared" si="0"/>
        <v>1</v>
      </c>
      <c r="L10">
        <v>1</v>
      </c>
    </row>
    <row r="11" spans="1:16" x14ac:dyDescent="0.25">
      <c r="A11" s="4" t="s">
        <v>58</v>
      </c>
      <c r="B11" s="1" t="s">
        <v>73</v>
      </c>
      <c r="C11" s="22">
        <f t="shared" si="0"/>
        <v>1</v>
      </c>
      <c r="L11">
        <v>1</v>
      </c>
    </row>
    <row r="12" spans="1:16" x14ac:dyDescent="0.25">
      <c r="A12" s="9" t="s">
        <v>47</v>
      </c>
      <c r="B12" s="1" t="s">
        <v>73</v>
      </c>
      <c r="C12" s="22">
        <f t="shared" si="0"/>
        <v>1</v>
      </c>
      <c r="F12">
        <v>1</v>
      </c>
    </row>
    <row r="13" spans="1:16" x14ac:dyDescent="0.25">
      <c r="A13" s="4" t="s">
        <v>48</v>
      </c>
      <c r="B13" s="1" t="s">
        <v>73</v>
      </c>
      <c r="C13" s="22">
        <f t="shared" si="0"/>
        <v>1</v>
      </c>
      <c r="J13">
        <v>1</v>
      </c>
    </row>
    <row r="14" spans="1:16" x14ac:dyDescent="0.25">
      <c r="A14" s="4" t="s">
        <v>49</v>
      </c>
      <c r="B14" s="1" t="s">
        <v>73</v>
      </c>
      <c r="C14" s="22">
        <f t="shared" si="0"/>
        <v>1</v>
      </c>
      <c r="F14">
        <v>1</v>
      </c>
    </row>
    <row r="15" spans="1:16" x14ac:dyDescent="0.25">
      <c r="A15" s="4" t="s">
        <v>50</v>
      </c>
      <c r="B15" s="1" t="s">
        <v>73</v>
      </c>
      <c r="C15" s="22">
        <f t="shared" si="0"/>
        <v>1</v>
      </c>
      <c r="J15">
        <v>1</v>
      </c>
    </row>
    <row r="16" spans="1:16" x14ac:dyDescent="0.25">
      <c r="A16" s="4" t="s">
        <v>51</v>
      </c>
      <c r="B16" s="1" t="s">
        <v>73</v>
      </c>
      <c r="C16" s="22">
        <f t="shared" si="0"/>
        <v>1</v>
      </c>
      <c r="G16">
        <v>1</v>
      </c>
    </row>
    <row r="17" spans="1:16" x14ac:dyDescent="0.25">
      <c r="A17" s="4" t="s">
        <v>52</v>
      </c>
      <c r="B17" s="1" t="s">
        <v>73</v>
      </c>
      <c r="C17" s="22">
        <f t="shared" si="0"/>
        <v>1</v>
      </c>
      <c r="G17">
        <v>1</v>
      </c>
    </row>
    <row r="18" spans="1:16" x14ac:dyDescent="0.25">
      <c r="A18" s="4" t="s">
        <v>53</v>
      </c>
      <c r="B18" s="1" t="s">
        <v>73</v>
      </c>
      <c r="C18" s="22">
        <f t="shared" si="0"/>
        <v>1</v>
      </c>
      <c r="G18">
        <v>1</v>
      </c>
    </row>
    <row r="19" spans="1:16" x14ac:dyDescent="0.25">
      <c r="A19" s="4" t="s">
        <v>54</v>
      </c>
      <c r="B19" s="1" t="s">
        <v>73</v>
      </c>
      <c r="C19" s="22">
        <f t="shared" si="0"/>
        <v>1</v>
      </c>
      <c r="H19">
        <v>1</v>
      </c>
    </row>
    <row r="20" spans="1:16" x14ac:dyDescent="0.25">
      <c r="A20" s="4" t="s">
        <v>90</v>
      </c>
      <c r="B20" t="s">
        <v>82</v>
      </c>
      <c r="C20" s="22">
        <f t="shared" ref="C20:C27" si="1">SUMPRODUCT(D20:P20,D$2:P$2)</f>
        <v>1</v>
      </c>
      <c r="I20">
        <v>1</v>
      </c>
    </row>
    <row r="21" spans="1:16" x14ac:dyDescent="0.25">
      <c r="A21" s="4" t="s">
        <v>91</v>
      </c>
      <c r="B21" t="s">
        <v>82</v>
      </c>
      <c r="C21" s="22">
        <f t="shared" si="1"/>
        <v>1</v>
      </c>
      <c r="I21">
        <v>1</v>
      </c>
    </row>
    <row r="22" spans="1:16" x14ac:dyDescent="0.25">
      <c r="A22" s="4" t="s">
        <v>92</v>
      </c>
      <c r="B22" t="s">
        <v>82</v>
      </c>
      <c r="C22" s="22">
        <f t="shared" si="1"/>
        <v>1</v>
      </c>
      <c r="I22">
        <v>1</v>
      </c>
    </row>
    <row r="23" spans="1:16" x14ac:dyDescent="0.25">
      <c r="A23" s="4" t="s">
        <v>93</v>
      </c>
      <c r="B23" t="s">
        <v>82</v>
      </c>
      <c r="C23" s="22">
        <f t="shared" si="1"/>
        <v>1</v>
      </c>
      <c r="I23">
        <v>1</v>
      </c>
    </row>
    <row r="24" spans="1:16" x14ac:dyDescent="0.25">
      <c r="A24" s="4" t="s">
        <v>113</v>
      </c>
      <c r="B24" t="s">
        <v>82</v>
      </c>
      <c r="C24" s="22">
        <f t="shared" si="1"/>
        <v>1</v>
      </c>
      <c r="N24">
        <v>1</v>
      </c>
    </row>
    <row r="25" spans="1:16" x14ac:dyDescent="0.25">
      <c r="A25" s="4"/>
      <c r="C25" s="22"/>
    </row>
    <row r="26" spans="1:16" x14ac:dyDescent="0.25">
      <c r="A26" s="4"/>
      <c r="C26" s="22"/>
    </row>
    <row r="27" spans="1:16" x14ac:dyDescent="0.25">
      <c r="A27" t="s">
        <v>69</v>
      </c>
      <c r="B27" s="1" t="s">
        <v>73</v>
      </c>
      <c r="C27" s="22">
        <f t="shared" si="1"/>
        <v>2</v>
      </c>
      <c r="O27">
        <v>1</v>
      </c>
      <c r="P27">
        <v>1</v>
      </c>
    </row>
    <row r="28" spans="1:16" x14ac:dyDescent="0.25">
      <c r="A28" t="s">
        <v>70</v>
      </c>
      <c r="B28" s="1" t="s">
        <v>73</v>
      </c>
      <c r="C28" s="22">
        <f>SUMPRODUCT(D28:P28,D$2:P$2)</f>
        <v>1</v>
      </c>
      <c r="O28">
        <v>1</v>
      </c>
    </row>
    <row r="29" spans="1:16" s="14" customFormat="1" x14ac:dyDescent="0.25">
      <c r="A29" s="14" t="s">
        <v>71</v>
      </c>
      <c r="B29" s="1" t="s">
        <v>73</v>
      </c>
      <c r="C29" s="22">
        <f>SUMPRODUCT(D29:P29,D$2:P$2)</f>
        <v>1</v>
      </c>
      <c r="P29" s="14">
        <v>1</v>
      </c>
    </row>
    <row r="30" spans="1:16" x14ac:dyDescent="0.25">
      <c r="A30" s="5" t="s">
        <v>55</v>
      </c>
      <c r="B30" s="1" t="s">
        <v>73</v>
      </c>
      <c r="C30" s="22">
        <f>SUMPRODUCT(D30:P30,D$2:P$2)</f>
        <v>6</v>
      </c>
      <c r="F30">
        <v>2</v>
      </c>
      <c r="I30">
        <v>2</v>
      </c>
      <c r="J30">
        <v>2</v>
      </c>
    </row>
    <row r="31" spans="1:16" x14ac:dyDescent="0.25">
      <c r="A31" s="8" t="s">
        <v>59</v>
      </c>
      <c r="B31" s="1" t="s">
        <v>73</v>
      </c>
      <c r="C31" s="22">
        <f>SUMPRODUCT(D31:P31,D$2:P$2)</f>
        <v>1</v>
      </c>
      <c r="L31">
        <v>1</v>
      </c>
    </row>
    <row r="32" spans="1:16" x14ac:dyDescent="0.25">
      <c r="C32" s="24">
        <f t="shared" ref="C32" si="2">SUMPRODUCT(D32:P32,D$2:P$2)</f>
        <v>0</v>
      </c>
    </row>
    <row r="33" spans="1:18" s="32" customFormat="1" x14ac:dyDescent="0.25">
      <c r="A33" s="31" t="s">
        <v>96</v>
      </c>
      <c r="C33" s="33"/>
    </row>
    <row r="34" spans="1:18" x14ac:dyDescent="0.25">
      <c r="A34" t="s">
        <v>98</v>
      </c>
      <c r="B34" s="18" t="s">
        <v>99</v>
      </c>
      <c r="C34" s="24">
        <f t="shared" ref="C34:C37" si="3">SUMPRODUCT(D34:P34,D$2:P$2)</f>
        <v>1</v>
      </c>
      <c r="I34">
        <v>1</v>
      </c>
    </row>
    <row r="35" spans="1:18" x14ac:dyDescent="0.25">
      <c r="A35" t="s">
        <v>116</v>
      </c>
      <c r="B35" s="18" t="s">
        <v>117</v>
      </c>
      <c r="C35" s="24">
        <f t="shared" si="3"/>
        <v>1</v>
      </c>
      <c r="N35">
        <v>1</v>
      </c>
    </row>
    <row r="36" spans="1:18" x14ac:dyDescent="0.25">
      <c r="A36" t="s">
        <v>120</v>
      </c>
      <c r="B36" t="s">
        <v>121</v>
      </c>
      <c r="C36" s="24">
        <f t="shared" si="3"/>
        <v>1</v>
      </c>
      <c r="N36">
        <v>1</v>
      </c>
    </row>
    <row r="37" spans="1:18" x14ac:dyDescent="0.25">
      <c r="A37" t="s">
        <v>122</v>
      </c>
      <c r="B37" t="s">
        <v>121</v>
      </c>
      <c r="C37" s="24">
        <f t="shared" si="3"/>
        <v>1</v>
      </c>
      <c r="N37">
        <v>1</v>
      </c>
    </row>
    <row r="38" spans="1:18" x14ac:dyDescent="0.25">
      <c r="A38" t="s">
        <v>97</v>
      </c>
      <c r="B38" t="s">
        <v>118</v>
      </c>
      <c r="C38" s="24">
        <f t="shared" ref="C38:C63" si="4">SUMPRODUCT(D38:P38,D$2:P$2)</f>
        <v>1</v>
      </c>
      <c r="I38">
        <v>1</v>
      </c>
    </row>
    <row r="39" spans="1:18" s="32" customFormat="1" x14ac:dyDescent="0.25">
      <c r="A39" s="31" t="s">
        <v>0</v>
      </c>
      <c r="C39" s="33"/>
    </row>
    <row r="40" spans="1:18" x14ac:dyDescent="0.25">
      <c r="A40" t="s">
        <v>21</v>
      </c>
      <c r="B40" s="1" t="s">
        <v>34</v>
      </c>
      <c r="C40" s="24">
        <f t="shared" si="4"/>
        <v>1</v>
      </c>
      <c r="N40">
        <v>1</v>
      </c>
    </row>
    <row r="41" spans="1:18" x14ac:dyDescent="0.25">
      <c r="A41" s="40" t="s">
        <v>100</v>
      </c>
      <c r="B41" s="41" t="s">
        <v>131</v>
      </c>
      <c r="C41" s="42">
        <f t="shared" si="4"/>
        <v>1</v>
      </c>
      <c r="D41" s="40"/>
      <c r="E41" s="40"/>
      <c r="F41" s="40"/>
      <c r="G41" s="40"/>
      <c r="H41" s="40"/>
      <c r="I41" s="40">
        <v>1</v>
      </c>
      <c r="J41" s="40"/>
      <c r="K41" s="40"/>
      <c r="L41" s="40"/>
      <c r="M41" s="40"/>
      <c r="N41" s="40"/>
      <c r="O41" s="40"/>
      <c r="P41" s="39"/>
      <c r="Q41" s="39"/>
      <c r="R41" s="39"/>
    </row>
    <row r="42" spans="1:18" x14ac:dyDescent="0.25">
      <c r="A42" t="s">
        <v>101</v>
      </c>
      <c r="B42" s="37" t="s">
        <v>102</v>
      </c>
      <c r="C42" s="24">
        <f t="shared" si="4"/>
        <v>1</v>
      </c>
      <c r="I42">
        <v>1</v>
      </c>
    </row>
    <row r="43" spans="1:18" x14ac:dyDescent="0.25">
      <c r="A43" t="s">
        <v>128</v>
      </c>
      <c r="B43" s="37" t="s">
        <v>127</v>
      </c>
      <c r="C43" s="24">
        <f t="shared" si="4"/>
        <v>1</v>
      </c>
      <c r="M43">
        <v>1</v>
      </c>
    </row>
    <row r="44" spans="1:18" x14ac:dyDescent="0.25">
      <c r="A44" t="s">
        <v>3</v>
      </c>
      <c r="B44" s="1" t="s">
        <v>35</v>
      </c>
      <c r="C44" s="24">
        <f t="shared" si="4"/>
        <v>1</v>
      </c>
      <c r="F44">
        <v>1</v>
      </c>
    </row>
    <row r="45" spans="1:18" x14ac:dyDescent="0.25">
      <c r="A45" t="s">
        <v>4</v>
      </c>
      <c r="B45" s="1" t="s">
        <v>36</v>
      </c>
      <c r="C45" s="24">
        <f t="shared" si="4"/>
        <v>1</v>
      </c>
      <c r="N45">
        <v>1</v>
      </c>
    </row>
    <row r="46" spans="1:18" x14ac:dyDescent="0.25">
      <c r="A46" t="s">
        <v>94</v>
      </c>
      <c r="B46" s="1" t="s">
        <v>95</v>
      </c>
      <c r="C46" s="24">
        <f t="shared" si="4"/>
        <v>0.5</v>
      </c>
      <c r="I46">
        <v>0.5</v>
      </c>
    </row>
    <row r="47" spans="1:18" x14ac:dyDescent="0.25">
      <c r="A47" t="s">
        <v>105</v>
      </c>
      <c r="B47" s="1" t="s">
        <v>104</v>
      </c>
      <c r="C47" s="24">
        <f t="shared" si="4"/>
        <v>1</v>
      </c>
      <c r="N47">
        <v>1</v>
      </c>
    </row>
    <row r="48" spans="1:18" x14ac:dyDescent="0.25">
      <c r="A48" t="s">
        <v>129</v>
      </c>
      <c r="B48" s="1" t="s">
        <v>130</v>
      </c>
      <c r="C48" s="24">
        <f t="shared" si="4"/>
        <v>1</v>
      </c>
      <c r="M48">
        <v>1</v>
      </c>
    </row>
    <row r="49" spans="1:16" x14ac:dyDescent="0.25">
      <c r="A49" t="s">
        <v>107</v>
      </c>
      <c r="B49" s="1" t="s">
        <v>106</v>
      </c>
      <c r="C49" s="24">
        <f t="shared" si="4"/>
        <v>1</v>
      </c>
      <c r="N49">
        <v>1</v>
      </c>
    </row>
    <row r="50" spans="1:16" x14ac:dyDescent="0.25">
      <c r="A50" t="s">
        <v>108</v>
      </c>
      <c r="B50" s="1" t="s">
        <v>111</v>
      </c>
      <c r="C50" s="24">
        <f t="shared" si="4"/>
        <v>1</v>
      </c>
      <c r="N50">
        <v>1</v>
      </c>
    </row>
    <row r="51" spans="1:16" x14ac:dyDescent="0.25">
      <c r="A51" t="s">
        <v>109</v>
      </c>
      <c r="B51" s="1" t="s">
        <v>110</v>
      </c>
      <c r="C51" s="24">
        <f t="shared" si="4"/>
        <v>1</v>
      </c>
      <c r="N51">
        <v>1</v>
      </c>
    </row>
    <row r="52" spans="1:16" x14ac:dyDescent="0.25">
      <c r="A52" t="s">
        <v>126</v>
      </c>
      <c r="B52" s="1" t="s">
        <v>125</v>
      </c>
      <c r="C52" s="24">
        <f t="shared" si="4"/>
        <v>1</v>
      </c>
      <c r="I52">
        <v>1</v>
      </c>
    </row>
    <row r="53" spans="1:16" x14ac:dyDescent="0.25">
      <c r="A53" t="s">
        <v>112</v>
      </c>
      <c r="B53" s="37" t="s">
        <v>119</v>
      </c>
      <c r="C53" s="24">
        <f t="shared" si="4"/>
        <v>1</v>
      </c>
      <c r="N53">
        <v>1</v>
      </c>
    </row>
    <row r="54" spans="1:16" x14ac:dyDescent="0.25">
      <c r="A54" t="s">
        <v>114</v>
      </c>
      <c r="B54" s="1" t="s">
        <v>115</v>
      </c>
      <c r="C54" s="24">
        <f t="shared" si="4"/>
        <v>1</v>
      </c>
      <c r="N54">
        <v>1</v>
      </c>
    </row>
    <row r="55" spans="1:16" x14ac:dyDescent="0.25">
      <c r="A55" t="s">
        <v>123</v>
      </c>
      <c r="B55" s="1" t="s">
        <v>124</v>
      </c>
      <c r="C55" s="24">
        <f t="shared" si="4"/>
        <v>1</v>
      </c>
      <c r="N55">
        <v>1</v>
      </c>
    </row>
    <row r="56" spans="1:16" x14ac:dyDescent="0.25">
      <c r="A56" t="s">
        <v>2</v>
      </c>
      <c r="B56" s="1" t="s">
        <v>37</v>
      </c>
      <c r="C56" s="24">
        <f t="shared" si="4"/>
        <v>2</v>
      </c>
      <c r="F56">
        <v>1</v>
      </c>
      <c r="N56">
        <v>1</v>
      </c>
    </row>
    <row r="57" spans="1:16" x14ac:dyDescent="0.25">
      <c r="A57" t="s">
        <v>38</v>
      </c>
      <c r="B57" s="1" t="s">
        <v>66</v>
      </c>
      <c r="C57" s="24">
        <f t="shared" si="4"/>
        <v>4</v>
      </c>
      <c r="F57">
        <v>1</v>
      </c>
      <c r="I57">
        <v>1</v>
      </c>
      <c r="M57">
        <v>1</v>
      </c>
      <c r="N57">
        <v>1</v>
      </c>
    </row>
    <row r="58" spans="1:16" x14ac:dyDescent="0.25">
      <c r="A58" t="s">
        <v>79</v>
      </c>
      <c r="B58" s="1" t="s">
        <v>78</v>
      </c>
      <c r="C58" s="24">
        <f t="shared" si="4"/>
        <v>2</v>
      </c>
      <c r="I58">
        <v>1</v>
      </c>
      <c r="J58">
        <v>1</v>
      </c>
    </row>
    <row r="59" spans="1:16" x14ac:dyDescent="0.25">
      <c r="A59" t="s">
        <v>60</v>
      </c>
      <c r="B59" s="1" t="s">
        <v>61</v>
      </c>
      <c r="C59" s="24">
        <f t="shared" si="4"/>
        <v>21</v>
      </c>
      <c r="F59">
        <v>4</v>
      </c>
      <c r="G59">
        <v>2</v>
      </c>
      <c r="I59" s="38">
        <v>8</v>
      </c>
      <c r="J59">
        <v>3</v>
      </c>
      <c r="M59">
        <v>4</v>
      </c>
    </row>
    <row r="60" spans="1:16" x14ac:dyDescent="0.25">
      <c r="A60" t="s">
        <v>27</v>
      </c>
      <c r="B60" s="18" t="s">
        <v>39</v>
      </c>
      <c r="C60" s="24">
        <f t="shared" si="4"/>
        <v>5</v>
      </c>
      <c r="I60">
        <v>1</v>
      </c>
      <c r="K60">
        <v>1</v>
      </c>
      <c r="L60">
        <v>1</v>
      </c>
      <c r="N60">
        <v>1</v>
      </c>
      <c r="P60">
        <v>1</v>
      </c>
    </row>
    <row r="61" spans="1:16" x14ac:dyDescent="0.25">
      <c r="A61" t="s">
        <v>80</v>
      </c>
      <c r="B61" s="18" t="s">
        <v>81</v>
      </c>
      <c r="C61" s="24">
        <f t="shared" si="4"/>
        <v>3</v>
      </c>
      <c r="F61">
        <v>1</v>
      </c>
      <c r="I61">
        <v>1</v>
      </c>
      <c r="N61">
        <v>1</v>
      </c>
    </row>
    <row r="62" spans="1:16" x14ac:dyDescent="0.25">
      <c r="A62" t="s">
        <v>103</v>
      </c>
      <c r="B62" s="18"/>
      <c r="C62" s="24">
        <f t="shared" si="4"/>
        <v>1</v>
      </c>
      <c r="I62">
        <v>1</v>
      </c>
    </row>
    <row r="63" spans="1:16" x14ac:dyDescent="0.25">
      <c r="A63" t="s">
        <v>68</v>
      </c>
      <c r="B63" s="18" t="s">
        <v>67</v>
      </c>
      <c r="C63" s="24">
        <f t="shared" si="4"/>
        <v>3</v>
      </c>
      <c r="F63">
        <v>1</v>
      </c>
      <c r="I63">
        <v>1</v>
      </c>
      <c r="N63">
        <v>1</v>
      </c>
    </row>
    <row r="64" spans="1:16" s="32" customFormat="1" x14ac:dyDescent="0.25">
      <c r="A64" s="31" t="s">
        <v>11</v>
      </c>
      <c r="C64" s="33"/>
    </row>
    <row r="65" spans="1:16" x14ac:dyDescent="0.25">
      <c r="A65" t="s">
        <v>12</v>
      </c>
      <c r="B65" s="1" t="s">
        <v>26</v>
      </c>
      <c r="C65" s="24">
        <f>SUMPRODUCT(D65:P65,D$2:P$2)</f>
        <v>1</v>
      </c>
      <c r="G65">
        <v>1</v>
      </c>
    </row>
    <row r="66" spans="1:16" x14ac:dyDescent="0.25">
      <c r="A66" t="s">
        <v>16</v>
      </c>
      <c r="B66" s="1" t="s">
        <v>25</v>
      </c>
      <c r="C66" s="24">
        <f>SUMPRODUCT(D66:P66,D$2:P$2)</f>
        <v>1</v>
      </c>
      <c r="J66">
        <v>1</v>
      </c>
    </row>
    <row r="67" spans="1:16" x14ac:dyDescent="0.25">
      <c r="A67" t="s">
        <v>22</v>
      </c>
      <c r="B67" s="1" t="s">
        <v>1</v>
      </c>
      <c r="C67" s="24">
        <f>SUMPRODUCT(D67:P67,D$2:P$2)</f>
        <v>2</v>
      </c>
      <c r="H67">
        <v>1</v>
      </c>
      <c r="M67">
        <v>1</v>
      </c>
    </row>
    <row r="68" spans="1:16" s="32" customFormat="1" x14ac:dyDescent="0.25">
      <c r="A68" s="31" t="s">
        <v>6</v>
      </c>
      <c r="C68" s="33"/>
    </row>
    <row r="69" spans="1:16" x14ac:dyDescent="0.25">
      <c r="A69" t="s">
        <v>7</v>
      </c>
      <c r="B69" s="1" t="s">
        <v>40</v>
      </c>
      <c r="C69" s="24">
        <f>SUMPRODUCT(D69:P69,D$2:P$2)</f>
        <v>0</v>
      </c>
    </row>
    <row r="70" spans="1:16" s="14" customFormat="1" x14ac:dyDescent="0.25">
      <c r="A70" s="14" t="s">
        <v>43</v>
      </c>
      <c r="B70" s="13" t="s">
        <v>42</v>
      </c>
      <c r="C70" s="25">
        <f>SUMPRODUCT(D70:P70,D$2:P$2)</f>
        <v>201</v>
      </c>
      <c r="D70" s="14">
        <v>96</v>
      </c>
      <c r="E70" s="14">
        <v>96</v>
      </c>
      <c r="F70" s="14">
        <v>4</v>
      </c>
      <c r="J70" s="14">
        <v>4</v>
      </c>
      <c r="L70" s="14">
        <v>1</v>
      </c>
    </row>
    <row r="71" spans="1:16" x14ac:dyDescent="0.25">
      <c r="A71" s="6" t="s">
        <v>9</v>
      </c>
      <c r="C71" s="24"/>
    </row>
    <row r="72" spans="1:16" x14ac:dyDescent="0.25">
      <c r="A72" t="s">
        <v>10</v>
      </c>
      <c r="B72" s="1" t="s">
        <v>75</v>
      </c>
      <c r="C72" s="24">
        <f>SUMPRODUCT(D72:P72,D$2:P$2)</f>
        <v>46</v>
      </c>
      <c r="F72">
        <v>6</v>
      </c>
      <c r="G72">
        <v>6</v>
      </c>
      <c r="H72">
        <v>4</v>
      </c>
      <c r="I72">
        <v>9</v>
      </c>
      <c r="J72">
        <v>5</v>
      </c>
      <c r="K72">
        <v>4</v>
      </c>
      <c r="L72">
        <v>4</v>
      </c>
      <c r="M72">
        <v>8</v>
      </c>
    </row>
    <row r="73" spans="1:16" x14ac:dyDescent="0.25">
      <c r="A73" t="s">
        <v>13</v>
      </c>
      <c r="B73" s="1" t="s">
        <v>74</v>
      </c>
      <c r="C73" s="24">
        <f>SUMPRODUCT(D73:P73,D$2:P$2)</f>
        <v>18</v>
      </c>
      <c r="K73">
        <v>5</v>
      </c>
      <c r="L73">
        <v>5</v>
      </c>
      <c r="O73">
        <v>4</v>
      </c>
      <c r="P73">
        <v>4</v>
      </c>
    </row>
    <row r="74" spans="1:16" x14ac:dyDescent="0.25">
      <c r="A74" t="s">
        <v>14</v>
      </c>
      <c r="B74" s="1" t="s">
        <v>76</v>
      </c>
      <c r="C74" s="24">
        <f>SUMPRODUCT(D74:P74,D$2:P$2)</f>
        <v>10</v>
      </c>
      <c r="F74">
        <v>2</v>
      </c>
      <c r="I74">
        <v>6</v>
      </c>
      <c r="J74">
        <v>2</v>
      </c>
    </row>
    <row r="75" spans="1:16" s="14" customFormat="1" x14ac:dyDescent="0.25">
      <c r="A75" s="14" t="s">
        <v>20</v>
      </c>
      <c r="B75" s="13" t="s">
        <v>77</v>
      </c>
      <c r="C75" s="25">
        <f>SUMPRODUCT(D75:P75,D$2:P$2)</f>
        <v>7</v>
      </c>
      <c r="F75" s="14">
        <v>2</v>
      </c>
      <c r="I75" s="14">
        <v>3</v>
      </c>
      <c r="J75" s="14">
        <v>2</v>
      </c>
    </row>
    <row r="76" spans="1:16" x14ac:dyDescent="0.25">
      <c r="A76" s="6" t="s">
        <v>87</v>
      </c>
      <c r="B76" s="6"/>
      <c r="C76" s="24"/>
    </row>
    <row r="77" spans="1:16" s="15" customFormat="1" ht="15.75" thickBot="1" x14ac:dyDescent="0.3">
      <c r="A77" s="15" t="s">
        <v>88</v>
      </c>
      <c r="B77" s="34" t="s">
        <v>89</v>
      </c>
      <c r="C77" s="25">
        <f t="shared" ref="C77" si="5">SUMPRODUCT(D77:P77,D$2:P$2)</f>
        <v>1</v>
      </c>
      <c r="F77" s="15">
        <v>1</v>
      </c>
    </row>
    <row r="78" spans="1:16" ht="15.75" thickTop="1" x14ac:dyDescent="0.25">
      <c r="C78" s="24"/>
    </row>
    <row r="79" spans="1:16" x14ac:dyDescent="0.25">
      <c r="A79" s="6" t="s">
        <v>31</v>
      </c>
      <c r="C79" s="24"/>
    </row>
    <row r="80" spans="1:16" x14ac:dyDescent="0.25">
      <c r="A80" t="s">
        <v>82</v>
      </c>
      <c r="C80" s="30">
        <f>(Wunschliste!B3)</f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</row>
    <row r="81" spans="3:3" x14ac:dyDescent="0.25">
      <c r="C81" s="30"/>
    </row>
  </sheetData>
  <hyperlinks>
    <hyperlink ref="B40" r:id="rId1" xr:uid="{D3083EDB-B099-46AA-BD17-187128FA9BFD}"/>
    <hyperlink ref="B44" r:id="rId2" xr:uid="{85B5EA62-6E7B-4942-8CB3-12E6192CF1E6}"/>
    <hyperlink ref="B45" r:id="rId3" xr:uid="{49F1CB1E-2F55-4682-9BFB-F8395D39BAB4}"/>
    <hyperlink ref="B56" r:id="rId4" xr:uid="{2C1784E4-3D28-41DD-BD07-08983186DA34}"/>
    <hyperlink ref="B57" r:id="rId5" xr:uid="{1EED3BAC-B917-4F45-8794-25F0289C9536}"/>
    <hyperlink ref="B60" r:id="rId6" xr:uid="{731334F0-A222-41FC-B033-DA44B9568577}"/>
    <hyperlink ref="B66" r:id="rId7" xr:uid="{BA6F7107-BFAF-4A81-A0FD-8BF35C7D3556}"/>
    <hyperlink ref="B65" r:id="rId8" xr:uid="{4A6464C7-754A-4526-92E2-84225A93AF0D}"/>
    <hyperlink ref="B67" r:id="rId9" xr:uid="{F025DCFA-DE86-46D9-BCF1-E060BBDD30E8}"/>
    <hyperlink ref="B69" r:id="rId10" xr:uid="{2C592C24-68D8-4228-B3EF-C66CF96B05A0}"/>
    <hyperlink ref="B70" r:id="rId11" xr:uid="{EC8BFD57-9B66-4274-8D7E-D2DDDE11D8DB}"/>
    <hyperlink ref="B59" r:id="rId12" xr:uid="{69B31C77-1241-4D97-B40D-94B2CE1342E8}"/>
    <hyperlink ref="B3" r:id="rId13" xr:uid="{146A3454-5FEA-40A7-894F-093F2DD805F0}"/>
    <hyperlink ref="B58" r:id="rId14" xr:uid="{ACCBABFC-F9DF-4485-B3E6-BF98C516FCC7}"/>
    <hyperlink ref="B73" r:id="rId15" xr:uid="{CE9FEA0D-F5D7-43CB-8B9C-4577BCE964BA}"/>
    <hyperlink ref="B72" r:id="rId16" xr:uid="{7B5371E9-8726-4E8D-8C4E-3834EE51FE95}"/>
    <hyperlink ref="B74" r:id="rId17" xr:uid="{617A8E20-A281-429F-8DAD-BE8F7FA56D83}"/>
    <hyperlink ref="B75" r:id="rId18" xr:uid="{FA237E98-27B4-4A24-8C39-B6D66E384D4B}"/>
    <hyperlink ref="B61" r:id="rId19" xr:uid="{C00E8352-79F8-40AC-92FE-72B3A0510D74}"/>
    <hyperlink ref="B77" r:id="rId20" xr:uid="{0330F73D-4002-485C-A97F-A848FE11D626}"/>
    <hyperlink ref="B4" r:id="rId21" xr:uid="{0A96B3AA-10ED-4F08-ADB3-EFB69C3EAF6D}"/>
    <hyperlink ref="B5" r:id="rId22" xr:uid="{750158B9-E9EC-41F3-ADA5-E78EA6A17080}"/>
    <hyperlink ref="B6" r:id="rId23" xr:uid="{A480EE9C-284A-46DD-A4DC-D3C7C607194C}"/>
    <hyperlink ref="B7" r:id="rId24" xr:uid="{D0194830-E78B-4EB5-AF24-97872878CF62}"/>
    <hyperlink ref="B8" r:id="rId25" xr:uid="{CDCAD405-2F7E-44D9-9F70-236A32A26968}"/>
    <hyperlink ref="B9" r:id="rId26" xr:uid="{8C03AA4D-2E15-44F6-B88B-CA17F7CA33E5}"/>
    <hyperlink ref="B10" r:id="rId27" xr:uid="{3E3AE031-F559-4F40-B39D-C669FEEBDFA9}"/>
    <hyperlink ref="B27" r:id="rId28" xr:uid="{9FA1ED13-4B6F-4186-A6AB-2873F4B50B30}"/>
    <hyperlink ref="B11" r:id="rId29" xr:uid="{22918FA4-8177-4ACB-BEB9-F79AE6827A7C}"/>
    <hyperlink ref="B12" r:id="rId30" xr:uid="{70ACD6AC-A7FB-42BE-AA0C-FB921DED1B2B}"/>
    <hyperlink ref="B13" r:id="rId31" xr:uid="{F57CD838-DCCF-4B3F-A390-DE2C31A8B6F8}"/>
    <hyperlink ref="B14" r:id="rId32" xr:uid="{B166FAB9-26FF-4350-9DC3-65A2976982C2}"/>
    <hyperlink ref="B15" r:id="rId33" xr:uid="{E9BA637A-2EC9-4303-89A5-8EDA449913D3}"/>
    <hyperlink ref="B16" r:id="rId34" xr:uid="{A3D9DEAB-5D34-4DB2-B183-C092914CB2B3}"/>
    <hyperlink ref="B17" r:id="rId35" xr:uid="{20A9257B-DE5A-4309-A966-BC282761D8E6}"/>
    <hyperlink ref="B18" r:id="rId36" xr:uid="{7E5F6F89-FF7A-419C-B628-673E9F05C71B}"/>
    <hyperlink ref="B19" r:id="rId37" xr:uid="{C090674D-133D-44EC-A3E0-C7693C9AECD5}"/>
    <hyperlink ref="B28:B31" r:id="rId38" display="https://o3q.de/anleitungen-dateien/" xr:uid="{C3AB3E55-16D7-4660-B2E2-A4792B6583BD}"/>
    <hyperlink ref="B34" r:id="rId39" location="productDownloads" xr:uid="{18C53AC6-9509-4A31-B11B-6C7CEC5C494A}"/>
    <hyperlink ref="B46" r:id="rId40" xr:uid="{B5110267-01A8-4D92-A095-6740DEB799CD}"/>
    <hyperlink ref="B51" r:id="rId41" xr:uid="{51FE157A-4C2B-435E-AE7F-508B0C4BC5D5}"/>
    <hyperlink ref="B48" r:id="rId42" xr:uid="{4ED9ED31-8420-490A-99F5-23A8FC0A51E3}"/>
    <hyperlink ref="B42" r:id="rId43" xr:uid="{BF717E95-0E2A-4197-960B-53FD38305B7D}"/>
    <hyperlink ref="B43" r:id="rId44" xr:uid="{787B5B53-71BC-4186-85D9-127F2DBFF218}"/>
    <hyperlink ref="B49" r:id="rId45" xr:uid="{4C86F8EB-FE82-4C1F-A05E-912F683793DA}"/>
    <hyperlink ref="B41" r:id="rId46" xr:uid="{0B58D751-E1BF-4564-8738-E40061DC53AC}"/>
  </hyperlinks>
  <pageMargins left="0.7" right="0.7" top="0.78740157499999996" bottom="0.78740157499999996" header="0.3" footer="0.3"/>
  <pageSetup paperSize="9" orientation="portrait" horizontalDpi="4294967293" verticalDpi="4294967293" r:id="rId4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6807953BDE2524E8E6BE306E2569B44" ma:contentTypeVersion="5" ma:contentTypeDescription="Ein neues Dokument erstellen." ma:contentTypeScope="" ma:versionID="df36f8472d1df99abef6db7d79afa0c2">
  <xsd:schema xmlns:xsd="http://www.w3.org/2001/XMLSchema" xmlns:xs="http://www.w3.org/2001/XMLSchema" xmlns:p="http://schemas.microsoft.com/office/2006/metadata/properties" xmlns:ns3="c603b590-e9af-4698-a5b1-d4a3b6f0659b" xmlns:ns4="11799508-d63c-4eef-884f-ba43685aa687" targetNamespace="http://schemas.microsoft.com/office/2006/metadata/properties" ma:root="true" ma:fieldsID="fd59db5fe0391d2c213d0836cc31a72f" ns3:_="" ns4:_="">
    <xsd:import namespace="c603b590-e9af-4698-a5b1-d4a3b6f0659b"/>
    <xsd:import namespace="11799508-d63c-4eef-884f-ba43685aa68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03b590-e9af-4698-a5b1-d4a3b6f065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799508-d63c-4eef-884f-ba43685aa68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2D976C-4A22-4930-B7E9-8FFEF9D194A2}">
  <ds:schemaRefs>
    <ds:schemaRef ds:uri="http://purl.org/dc/terms/"/>
    <ds:schemaRef ds:uri="http://purl.org/dc/elements/1.1/"/>
    <ds:schemaRef ds:uri="http://purl.org/dc/dcmitype/"/>
    <ds:schemaRef ds:uri="c603b590-e9af-4698-a5b1-d4a3b6f0659b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1799508-d63c-4eef-884f-ba43685aa68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2F40B2C-F6B2-4CB4-844F-54C81E14A6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03b590-e9af-4698-a5b1-d4a3b6f0659b"/>
    <ds:schemaRef ds:uri="11799508-d63c-4eef-884f-ba43685aa6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8071AC-2496-44D7-8F43-51F5E419B1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Wunschliste</vt:lpstr>
      <vt:lpstr>Bauteile nach Würfeln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Haverkamp</dc:creator>
  <cp:lastModifiedBy>Nils Haverkamp</cp:lastModifiedBy>
  <dcterms:created xsi:type="dcterms:W3CDTF">2022-08-03T09:18:34Z</dcterms:created>
  <dcterms:modified xsi:type="dcterms:W3CDTF">2024-08-14T12:18:05Z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0x01010076807953BDE2524E8E6BE306E2569B44</vt:lpwstr>
  </property>
</Properties>
</file>